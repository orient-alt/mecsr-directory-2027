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600" firstSheet="0" activeTab="4" autoFilterDateGrouping="1"/>
  </bookViews>
  <sheets>
    <sheet xmlns:r="http://schemas.openxmlformats.org/officeDocument/2006/relationships" name="README" sheetId="1" state="visible" r:id="rId1"/>
    <sheet xmlns:r="http://schemas.openxmlformats.org/officeDocument/2006/relationships" name="01 RPM" sheetId="2" state="visible" r:id="rId2"/>
    <sheet xmlns:r="http://schemas.openxmlformats.org/officeDocument/2006/relationships" name="02 Ads" sheetId="3" state="visible" r:id="rId3"/>
    <sheet xmlns:r="http://schemas.openxmlformats.org/officeDocument/2006/relationships" name="03 Corporate Members" sheetId="4" state="visible" r:id="rId4"/>
    <sheet xmlns:r="http://schemas.openxmlformats.org/officeDocument/2006/relationships" name="04 Flat Plan" sheetId="5" state="visible" r:id="rId5"/>
    <sheet xmlns:r="http://schemas.openxmlformats.org/officeDocument/2006/relationships" name="05 Service Providers" sheetId="6" state="visible" r:id="rId6"/>
    <sheet xmlns:r="http://schemas.openxmlformats.org/officeDocument/2006/relationships" name="06 Expert Views" sheetId="7" state="visible" r:id="rId7"/>
    <sheet xmlns:r="http://schemas.openxmlformats.org/officeDocument/2006/relationships" name="10 Intel New Properties" sheetId="8" state="visible" r:id="rId8"/>
    <sheet xmlns:r="http://schemas.openxmlformats.org/officeDocument/2006/relationships" name="11 Intel Listing Updates" sheetId="9" state="visible" r:id="rId9"/>
    <sheet xmlns:r="http://schemas.openxmlformats.org/officeDocument/2006/relationships" name="12 Intel Article Ideas" sheetId="10" state="visible" r:id="rId10"/>
    <sheet xmlns:r="http://schemas.openxmlformats.org/officeDocument/2006/relationships" name="13 Book QA" sheetId="11" state="visible" r:id="rId11"/>
    <sheet xmlns:r="http://schemas.openxmlformats.org/officeDocument/2006/relationships" name="Overview" sheetId="12" state="visible" r:id="rId12"/>
  </sheets>
  <definedNames>
    <definedName name="_xlnm._FilterDatabase" localSheetId="1" hidden="1">'01 RPM'!$A$4:$M$21</definedName>
    <definedName name="_xlnm.Print_Titles" localSheetId="1">'01 RPM'!$4:$4</definedName>
    <definedName name="_xlnm._FilterDatabase" localSheetId="2" hidden="1">'02 Ads'!$A$4:$I$13</definedName>
    <definedName name="_xlnm.Print_Titles" localSheetId="2">'02 Ads'!$4:$4</definedName>
    <definedName name="_xlnm._FilterDatabase" localSheetId="3" hidden="1">'03 Corporate Members'!$A$4:$K$20</definedName>
    <definedName name="_xlnm.Print_Titles" localSheetId="3">'03 Corporate Members'!$4:$4</definedName>
    <definedName name="_xlnm._FilterDatabase" localSheetId="4" hidden="1">'04 Flat Plan'!$A$4:$P$95</definedName>
    <definedName name="_xlnm.Print_Titles" localSheetId="4">'04 Flat Plan'!$4:$4</definedName>
    <definedName name="_xlnm._FilterDatabase" localSheetId="5" hidden="1">'05 Service Providers'!$A$4:$M$23</definedName>
    <definedName name="_xlnm.Print_Titles" localSheetId="5">'05 Service Providers'!$4:$4</definedName>
    <definedName name="_xlnm._FilterDatabase" localSheetId="6" hidden="1">'06 Expert Views'!$A$4:$P$13</definedName>
    <definedName name="_xlnm.Print_Titles" localSheetId="6">'06 Expert Views'!$4:$4</definedName>
    <definedName name="_xlnm._FilterDatabase" localSheetId="7" hidden="1">'10 Intel New Properties'!$A$4:$U$67</definedName>
    <definedName name="_xlnm._FilterDatabase" localSheetId="8" hidden="1">'11 Intel Listing Updates'!$A$4:$P$49</definedName>
    <definedName name="_xlnm._FilterDatabase" localSheetId="9" hidden="1">'12 Intel Article Ideas'!$A$4:$N$18</definedName>
    <definedName name="_xlnm._FilterDatabase" localSheetId="10" hidden="1">'13 Book QA'!$A$4:$J$54</definedName>
  </definedNames>
  <calcPr calcId="191029" fullCalcOnLoad="1"/>
</workbook>
</file>

<file path=xl/styles.xml><?xml version="1.0" encoding="utf-8"?>
<styleSheet xmlns="http://schemas.openxmlformats.org/spreadsheetml/2006/main">
  <numFmts count="3">
    <numFmt numFmtId="164" formatCode="0.0%"/>
    <numFmt numFmtId="165" formatCode="yyyy\-mm\-dd"/>
    <numFmt numFmtId="166" formatCode="0.0"/>
  </numFmts>
  <fonts count="25">
    <font>
      <name val="Calibri"/>
      <family val="2"/>
      <color theme="1"/>
      <sz val="11"/>
      <scheme val="minor"/>
    </font>
    <font>
      <name val="Arial"/>
      <b val="1"/>
      <color rgb="FF12365E"/>
      <sz val="16"/>
    </font>
    <font>
      <name val="Arial"/>
      <color rgb="FF6E6C64"/>
      <sz val="9.5"/>
    </font>
    <font>
      <name val="Arial"/>
      <sz val="10"/>
    </font>
    <font>
      <name val="Arial"/>
      <b val="1"/>
      <sz val="10"/>
    </font>
    <font>
      <name val="Arial"/>
      <b val="1"/>
      <color rgb="FF12365E"/>
      <sz val="14"/>
    </font>
    <font>
      <name val="Arial"/>
      <b val="1"/>
      <color rgb="FFFFFFFF"/>
      <sz val="9.5"/>
    </font>
    <font>
      <name val="Arial"/>
      <color rgb="FF0000FF"/>
      <sz val="10"/>
    </font>
    <font>
      <name val="Arial"/>
      <color rgb="FFA6A6A6"/>
      <sz val="10"/>
    </font>
    <font>
      <name val="Arial"/>
      <color rgb="FF6B5510"/>
      <sz val="9"/>
    </font>
    <font>
      <name val="Arial"/>
      <b val="1"/>
      <color rgb="FF12365E"/>
      <sz val="10"/>
    </font>
    <font>
      <name val="Arial"/>
      <b val="1"/>
      <color rgb="FFB8860B"/>
      <sz val="10"/>
    </font>
    <font>
      <name val="Arial"/>
      <b val="1"/>
      <color rgb="FF8A6D1F"/>
      <sz val="10"/>
    </font>
    <font>
      <name val="Arial"/>
      <b val="1"/>
      <color rgb="FF3A3934"/>
      <sz val="10"/>
    </font>
    <font>
      <name val="Arial"/>
      <b val="1"/>
      <color rgb="FF9C4221"/>
      <sz val="10"/>
    </font>
    <font>
      <name val="Arial"/>
      <b val="1"/>
      <color rgb="FF8E44AD"/>
      <sz val="10"/>
    </font>
    <font>
      <name val="Arial"/>
      <b val="1"/>
      <color rgb="FF1F7A5C"/>
      <sz val="10"/>
    </font>
    <font>
      <name val="Arial"/>
      <b val="1"/>
      <color rgb="FF0F6FA8"/>
      <sz val="10"/>
    </font>
    <font>
      <name val="Arial"/>
      <b val="1"/>
      <color rgb="FFB03060"/>
      <sz val="10"/>
    </font>
    <font>
      <name val="Arial"/>
      <b val="1"/>
      <color rgb="FF6E6C64"/>
      <sz val="10"/>
    </font>
    <font>
      <name val="Arial"/>
      <b val="1"/>
      <color rgb="FF12365E"/>
      <sz val="11"/>
    </font>
    <font>
      <name val="Arial"/>
      <b val="1"/>
      <color rgb="FFC0392B"/>
      <sz val="11"/>
    </font>
    <font>
      <name val="Arial"/>
      <color rgb="FF12365E"/>
      <sz val="10"/>
    </font>
    <font>
      <name val="Arial"/>
      <color rgb="FF17150F"/>
      <sz val="10"/>
    </font>
    <font>
      <name val="Arial"/>
      <color rgb="FF0563C1"/>
      <sz val="10"/>
      <u val="single"/>
    </font>
  </fonts>
  <fills count="17">
    <fill>
      <patternFill/>
    </fill>
    <fill>
      <patternFill patternType="gray125"/>
    </fill>
    <fill>
      <patternFill patternType="solid">
        <fgColor rgb="FF12365E"/>
      </patternFill>
    </fill>
    <fill>
      <patternFill patternType="solid">
        <fgColor rgb="FFB8860B"/>
      </patternFill>
    </fill>
    <fill>
      <patternFill patternType="solid">
        <fgColor rgb="FFE3EEFB"/>
      </patternFill>
    </fill>
    <fill>
      <patternFill patternType="solid">
        <fgColor rgb="FFFFF2CC"/>
      </patternFill>
    </fill>
    <fill>
      <patternFill patternType="solid">
        <fgColor rgb="FFEFEEEA"/>
      </patternFill>
    </fill>
    <fill>
      <patternFill patternType="solid">
        <fgColor rgb="FFF7ECD2"/>
      </patternFill>
    </fill>
    <fill>
      <patternFill patternType="solid">
        <fgColor rgb="FFFDEAE1"/>
      </patternFill>
    </fill>
    <fill>
      <patternFill patternType="solid">
        <fgColor rgb="FFF2F2F2"/>
      </patternFill>
    </fill>
    <fill>
      <patternFill patternType="solid">
        <fgColor rgb="FFDCE6F1"/>
      </patternFill>
    </fill>
    <fill>
      <patternFill patternType="solid">
        <fgColor rgb="FFE3F4E8"/>
      </patternFill>
    </fill>
    <fill>
      <patternFill patternType="solid">
        <fgColor rgb="FFFDF1DC"/>
      </patternFill>
    </fill>
    <fill>
      <patternFill patternType="solid">
        <fgColor rgb="FFE2F0D9"/>
      </patternFill>
    </fill>
    <fill>
      <patternFill patternType="solid">
        <fgColor rgb="FFDDEBF7"/>
      </patternFill>
    </fill>
    <fill>
      <patternFill patternType="solid">
        <fgColor rgb="FFFCE4D6"/>
      </patternFill>
    </fill>
    <fill>
      <patternFill patternType="solid">
        <fgColor rgb="FFF8CBAD"/>
      </patternFill>
    </fill>
  </fills>
  <borders count="5">
    <border>
      <left/>
      <right/>
      <top/>
      <bottom/>
      <diagonal/>
    </border>
    <border>
      <left style="thin">
        <color rgb="FFD9D9D9"/>
      </left>
      <right style="thin">
        <color rgb="FFD9D9D9"/>
      </right>
      <top style="thin">
        <color rgb="FFD9D9D9"/>
      </top>
      <bottom style="thin">
        <color rgb="FFD9D9D9"/>
      </bottom>
      <diagonal/>
    </border>
    <border/>
    <border>
      <right/>
      <bottom/>
    </border>
    <border>
      <left style="thin">
        <color rgb="FFD8D6CF"/>
      </left>
      <right style="thin">
        <color rgb="FFD8D6CF"/>
      </right>
      <top style="thin">
        <color rgb="FFD8D6CF"/>
      </top>
      <bottom style="thin">
        <color rgb="FFD8D6CF"/>
      </bottom>
    </border>
  </borders>
  <cellStyleXfs count="1">
    <xf numFmtId="0" fontId="0" fillId="0" borderId="0"/>
  </cellStyleXfs>
  <cellXfs count="8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3" fillId="0" borderId="0" applyAlignment="1" pivotButton="0" quotePrefix="0" xfId="0">
      <alignment vertical="top" wrapText="1"/>
    </xf>
    <xf numFmtId="0" fontId="4" fillId="0" borderId="0" pivotButton="0" quotePrefix="0" xfId="0"/>
    <xf numFmtId="0" fontId="6" fillId="2" borderId="1" applyAlignment="1" pivotButton="0" quotePrefix="0" xfId="0">
      <alignment horizontal="center" vertical="center" wrapText="1"/>
    </xf>
    <xf numFmtId="0" fontId="6" fillId="3" borderId="1" applyAlignment="1" pivotButton="0" quotePrefix="0" xfId="0">
      <alignment horizontal="center" vertical="center" wrapText="1"/>
    </xf>
    <xf numFmtId="0" fontId="7" fillId="0" borderId="1" applyAlignment="1" pivotButton="0" quotePrefix="0" xfId="0">
      <alignment vertical="top"/>
    </xf>
    <xf numFmtId="0" fontId="7" fillId="0" borderId="1" applyAlignment="1" pivotButton="0" quotePrefix="0" xfId="0">
      <alignment vertical="top" wrapText="1"/>
    </xf>
    <xf numFmtId="0" fontId="7" fillId="4" borderId="1" applyAlignment="1" pivotButton="0" quotePrefix="0" xfId="0">
      <alignment vertical="top"/>
    </xf>
    <xf numFmtId="0" fontId="3" fillId="5" borderId="1" pivotButton="0" quotePrefix="0" xfId="0"/>
    <xf numFmtId="0" fontId="7" fillId="6" borderId="1" applyAlignment="1" pivotButton="0" quotePrefix="0" xfId="0">
      <alignment vertical="top"/>
    </xf>
    <xf numFmtId="0" fontId="7" fillId="7" borderId="1" applyAlignment="1" pivotButton="0" quotePrefix="0" xfId="0">
      <alignment vertical="top"/>
    </xf>
    <xf numFmtId="0" fontId="7" fillId="8" borderId="1" applyAlignment="1" pivotButton="0" quotePrefix="0" xfId="0">
      <alignment vertical="top"/>
    </xf>
    <xf numFmtId="0" fontId="8" fillId="0" borderId="1" applyAlignment="1" pivotButton="0" quotePrefix="0" xfId="0">
      <alignment vertical="top" wrapText="1"/>
    </xf>
    <xf numFmtId="0" fontId="7" fillId="9" borderId="1" applyAlignment="1" pivotButton="0" quotePrefix="0" xfId="0">
      <alignment vertical="top"/>
    </xf>
    <xf numFmtId="0" fontId="4" fillId="0" borderId="0" applyAlignment="1" pivotButton="0" quotePrefix="0" xfId="0">
      <alignment horizontal="right"/>
    </xf>
    <xf numFmtId="0" fontId="10" fillId="10" borderId="1" pivotButton="0" quotePrefix="0" xfId="0"/>
    <xf numFmtId="0" fontId="10" fillId="0" borderId="1" applyAlignment="1" pivotButton="0" quotePrefix="0" xfId="0">
      <alignment horizontal="left" vertical="center"/>
    </xf>
    <xf numFmtId="0" fontId="7" fillId="0" borderId="1" applyAlignment="1" pivotButton="0" quotePrefix="0" xfId="0">
      <alignment horizontal="center" vertical="center"/>
    </xf>
    <xf numFmtId="0" fontId="10" fillId="0" borderId="1" applyAlignment="1" pivotButton="0" quotePrefix="0" xfId="0">
      <alignment horizontal="center" vertical="center"/>
    </xf>
    <xf numFmtId="0" fontId="8" fillId="0" borderId="1" applyAlignment="1" pivotButton="0" quotePrefix="0" xfId="0">
      <alignment horizontal="center" vertical="center"/>
    </xf>
    <xf numFmtId="0" fontId="11" fillId="0" borderId="1" applyAlignment="1" pivotButton="0" quotePrefix="0" xfId="0">
      <alignment horizontal="left" vertical="center"/>
    </xf>
    <xf numFmtId="0" fontId="12" fillId="0" borderId="1" applyAlignment="1" pivotButton="0" quotePrefix="0" xfId="0">
      <alignment horizontal="left" vertical="center"/>
    </xf>
    <xf numFmtId="0" fontId="13" fillId="0" borderId="1" applyAlignment="1" pivotButton="0" quotePrefix="0" xfId="0">
      <alignment horizontal="left" vertical="center"/>
    </xf>
    <xf numFmtId="0" fontId="14" fillId="0" borderId="1" applyAlignment="1" pivotButton="0" quotePrefix="0" xfId="0">
      <alignment horizontal="left" vertical="center"/>
    </xf>
    <xf numFmtId="0" fontId="15" fillId="0" borderId="1" applyAlignment="1" pivotButton="0" quotePrefix="0" xfId="0">
      <alignment horizontal="left" vertical="center"/>
    </xf>
    <xf numFmtId="0" fontId="16" fillId="0" borderId="1" applyAlignment="1" pivotButton="0" quotePrefix="0" xfId="0">
      <alignment horizontal="left" vertical="center"/>
    </xf>
    <xf numFmtId="0" fontId="17" fillId="0" borderId="1" applyAlignment="1" pivotButton="0" quotePrefix="0" xfId="0">
      <alignment horizontal="left" vertical="center"/>
    </xf>
    <xf numFmtId="0" fontId="18" fillId="0" borderId="1" applyAlignment="1" pivotButton="0" quotePrefix="0" xfId="0">
      <alignment horizontal="left" vertical="center"/>
    </xf>
    <xf numFmtId="0" fontId="19" fillId="0" borderId="1" applyAlignment="1" pivotButton="0" quotePrefix="0" xfId="0">
      <alignment horizontal="left" vertical="center"/>
    </xf>
    <xf numFmtId="0" fontId="20" fillId="0" borderId="0" pivotButton="0" quotePrefix="0" xfId="0"/>
    <xf numFmtId="0" fontId="6" fillId="2" borderId="1" applyAlignment="1" pivotButton="0" quotePrefix="0" xfId="0">
      <alignment horizontal="center"/>
    </xf>
    <xf numFmtId="0" fontId="10" fillId="0" borderId="1" pivotButton="0" quotePrefix="0" xfId="0"/>
    <xf numFmtId="0" fontId="3" fillId="0" borderId="1" applyAlignment="1" pivotButton="0" quotePrefix="0" xfId="0">
      <alignment horizontal="center"/>
    </xf>
    <xf numFmtId="164" fontId="3" fillId="0" borderId="1" applyAlignment="1" pivotButton="0" quotePrefix="0" xfId="0">
      <alignment horizontal="center"/>
    </xf>
    <xf numFmtId="0" fontId="11" fillId="0" borderId="1" pivotButton="0" quotePrefix="0" xfId="0"/>
    <xf numFmtId="0" fontId="15" fillId="0" borderId="1" pivotButton="0" quotePrefix="0" xfId="0"/>
    <xf numFmtId="0" fontId="16" fillId="0" borderId="1" pivotButton="0" quotePrefix="0" xfId="0"/>
    <xf numFmtId="0" fontId="17" fillId="0" borderId="1" pivotButton="0" quotePrefix="0" xfId="0"/>
    <xf numFmtId="0" fontId="18" fillId="0" borderId="1" pivotButton="0" quotePrefix="0" xfId="0"/>
    <xf numFmtId="0" fontId="14" fillId="0" borderId="1" pivotButton="0" quotePrefix="0" xfId="0"/>
    <xf numFmtId="0" fontId="12" fillId="0" borderId="1" pivotButton="0" quotePrefix="0" xfId="0"/>
    <xf numFmtId="0" fontId="13" fillId="0" borderId="1" pivotButton="0" quotePrefix="0" xfId="0"/>
    <xf numFmtId="0" fontId="19" fillId="0" borderId="1" pivotButton="0" quotePrefix="0" xfId="0"/>
    <xf numFmtId="0" fontId="4" fillId="10" borderId="1" pivotButton="0" quotePrefix="0" xfId="0"/>
    <xf numFmtId="0" fontId="10" fillId="10" borderId="1" applyAlignment="1" pivotButton="0" quotePrefix="0" xfId="0">
      <alignment horizontal="center"/>
    </xf>
    <xf numFmtId="164" fontId="10" fillId="10" borderId="1" applyAlignment="1" pivotButton="0" quotePrefix="0" xfId="0">
      <alignment horizontal="center"/>
    </xf>
    <xf numFmtId="0" fontId="3" fillId="0" borderId="1" pivotButton="0" quotePrefix="0" xfId="0"/>
    <xf numFmtId="0" fontId="0" fillId="0" borderId="1" pivotButton="0" quotePrefix="0" xfId="0"/>
    <xf numFmtId="0" fontId="10" fillId="0" borderId="1" applyAlignment="1" pivotButton="0" quotePrefix="0" xfId="0">
      <alignment horizontal="center"/>
    </xf>
    <xf numFmtId="0" fontId="4" fillId="5" borderId="1" applyAlignment="1" pivotButton="0" quotePrefix="0" xfId="0">
      <alignment horizontal="center"/>
    </xf>
    <xf numFmtId="0" fontId="9" fillId="0" borderId="0" pivotButton="0" quotePrefix="0" xfId="0"/>
    <xf numFmtId="165" fontId="10" fillId="0" borderId="1" applyAlignment="1" pivotButton="0" quotePrefix="0" xfId="0">
      <alignment horizontal="center"/>
    </xf>
    <xf numFmtId="0" fontId="4" fillId="0" borderId="1" applyAlignment="1" pivotButton="0" quotePrefix="0" xfId="0">
      <alignment horizontal="center"/>
    </xf>
    <xf numFmtId="164" fontId="7" fillId="0" borderId="1" applyAlignment="1" pivotButton="0" quotePrefix="0" xfId="0">
      <alignment horizontal="center" vertical="center"/>
    </xf>
    <xf numFmtId="166" fontId="7" fillId="0" borderId="1" applyAlignment="1" pivotButton="0" quotePrefix="0" xfId="0">
      <alignment horizontal="center" vertical="center"/>
    </xf>
    <xf numFmtId="0" fontId="4" fillId="0" borderId="1" applyAlignment="1" pivotButton="0" quotePrefix="0" xfId="0">
      <alignment horizontal="right"/>
    </xf>
    <xf numFmtId="166" fontId="10" fillId="10" borderId="1" applyAlignment="1" pivotButton="0" quotePrefix="0" xfId="0">
      <alignment horizontal="center"/>
    </xf>
    <xf numFmtId="0" fontId="2" fillId="0" borderId="0" applyAlignment="1" pivotButton="0" quotePrefix="0" xfId="0">
      <alignment horizontal="center"/>
    </xf>
    <xf numFmtId="0" fontId="4" fillId="0" borderId="1" pivotButton="0" quotePrefix="0" xfId="0"/>
    <xf numFmtId="0" fontId="3" fillId="5" borderId="1" applyAlignment="1" pivotButton="0" quotePrefix="0" xfId="0">
      <alignment vertical="top"/>
    </xf>
    <xf numFmtId="0" fontId="8" fillId="0" borderId="1" applyAlignment="1" pivotButton="0" quotePrefix="0" xfId="0">
      <alignment vertical="top"/>
    </xf>
    <xf numFmtId="0" fontId="21" fillId="0" borderId="0" pivotButton="0" quotePrefix="0" xfId="0"/>
    <xf numFmtId="0" fontId="22" fillId="0" borderId="1" applyAlignment="1" pivotButton="0" quotePrefix="0" xfId="0">
      <alignment horizontal="center"/>
    </xf>
    <xf numFmtId="0" fontId="7" fillId="11" borderId="1" applyAlignment="1" pivotButton="0" quotePrefix="0" xfId="0">
      <alignment vertical="top"/>
    </xf>
    <xf numFmtId="0" fontId="10" fillId="0" borderId="1" applyAlignment="1" pivotButton="0" quotePrefix="0" xfId="0">
      <alignment vertical="top"/>
    </xf>
    <xf numFmtId="0" fontId="7" fillId="12" borderId="1" applyAlignment="1" pivotButton="0" quotePrefix="0" xfId="0">
      <alignment vertical="top"/>
    </xf>
    <xf numFmtId="0" fontId="22" fillId="0" borderId="1" pivotButton="0" quotePrefix="0" xfId="0"/>
    <xf numFmtId="0" fontId="4" fillId="10" borderId="0" pivotButton="0" quotePrefix="0" xfId="0"/>
    <xf numFmtId="0" fontId="9" fillId="0" borderId="0" applyAlignment="1" pivotButton="0" quotePrefix="0" xfId="0">
      <alignment vertical="top" wrapText="1"/>
    </xf>
    <xf numFmtId="0" fontId="0" fillId="0" borderId="0" pivotButton="0" quotePrefix="0" xfId="0"/>
    <xf numFmtId="0" fontId="5" fillId="0" borderId="0" pivotButton="0" quotePrefix="0" xfId="0"/>
    <xf numFmtId="0" fontId="2" fillId="0" borderId="0" pivotButton="0" quotePrefix="0" xfId="0"/>
    <xf numFmtId="0" fontId="3" fillId="5" borderId="1" applyAlignment="1" pivotButton="0" quotePrefix="0" xfId="0">
      <alignment vertical="top" wrapText="1"/>
    </xf>
    <xf numFmtId="0" fontId="2" fillId="0" borderId="0" applyAlignment="1" pivotButton="0" quotePrefix="0" xfId="0">
      <alignment vertical="top" wrapText="1"/>
    </xf>
    <xf numFmtId="0" fontId="23" fillId="0" borderId="4" applyAlignment="1" pivotButton="0" quotePrefix="0" xfId="0">
      <alignment vertical="top" wrapText="1"/>
    </xf>
    <xf numFmtId="0" fontId="23" fillId="13" borderId="4" applyAlignment="1" pivotButton="0" quotePrefix="0" xfId="0">
      <alignment vertical="top" wrapText="1"/>
    </xf>
    <xf numFmtId="0" fontId="24" fillId="0" borderId="4" applyAlignment="1" pivotButton="0" quotePrefix="0" xfId="0">
      <alignment vertical="top" wrapText="1"/>
    </xf>
    <xf numFmtId="0" fontId="23" fillId="5" borderId="4" applyAlignment="1" pivotButton="0" quotePrefix="0" xfId="0">
      <alignment vertical="top" wrapText="1"/>
    </xf>
    <xf numFmtId="0" fontId="23" fillId="14" borderId="4" applyAlignment="1" pivotButton="0" quotePrefix="0" xfId="0">
      <alignment vertical="top" wrapText="1"/>
    </xf>
    <xf numFmtId="0" fontId="23" fillId="15" borderId="4" applyAlignment="1" pivotButton="0" quotePrefix="0" xfId="0">
      <alignment vertical="top" wrapText="1"/>
    </xf>
    <xf numFmtId="0" fontId="23" fillId="9" borderId="4" applyAlignment="1" pivotButton="0" quotePrefix="0" xfId="0">
      <alignment vertical="top" wrapText="1"/>
    </xf>
    <xf numFmtId="0" fontId="9" fillId="0" borderId="2" applyAlignment="1" pivotButton="0" quotePrefix="0" xfId="0">
      <alignment vertical="top" wrapText="1"/>
    </xf>
    <xf numFmtId="0" fontId="23" fillId="16" borderId="4" applyAlignment="1" pivotButton="0" quotePrefix="0" xfId="0">
      <alignment vertical="top" wrapText="1"/>
    </xf>
    <xf numFmtId="0" fontId="9" fillId="0" borderId="3"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Relationships xmlns="http://schemas.openxmlformats.org/package/2006/relationships"><Relationship Type="http://schemas.openxmlformats.org/officeDocument/2006/relationships/hyperlink" Target="https://www.aps.dz/fr/algerie/developpement/ms27hk9h-ouverture-du-plus-grand-centre-commercial-au-niveau-national" TargetMode="External" Id="rId1"/><Relationship Type="http://schemas.openxmlformats.org/officeDocument/2006/relationships/hyperlink" Target="https://akipress.com/news:906821" TargetMode="External" Id="rId2"/><Relationship Type="http://schemas.openxmlformats.org/officeDocument/2006/relationships/hyperlink" Target="https://libyaherald.com/2026/06/first-mall-opens-as-libyas-largest-shopping-mall-after-a-hiatus-of-more-than-15-years-of-stop-start-construction" TargetMode="External" Id="rId3"/><Relationship Type="http://schemas.openxmlformats.org/officeDocument/2006/relationships/hyperlink" Target="https://www.iloveqatar.net/guide/places/downtown-souq-mall-complex-al-khor" TargetMode="External" Id="rId4"/><Relationship Type="http://schemas.openxmlformats.org/officeDocument/2006/relationships/hyperlink" Target="https://mallreport.com.tr/2026/08/31/koru-florya-avm-kapilarini-acti/" TargetMode="External" Id="rId5"/><Relationship Type="http://schemas.openxmlformats.org/officeDocument/2006/relationships/hyperlink" Target="https://www.globenewswire.com/news-release/2026/04/14/3273219/0/en/maximum-life-eryaman-is-bringing-together-an-open-plan-shopping-centre-offices-and-residential-units-under-one-roof-in-ankara-with-its-grand-launch-on-18-19-april-2026.html" TargetMode="External" Id="rId6"/><Relationship Type="http://schemas.openxmlformats.org/officeDocument/2006/relationships/hyperlink" Target="https://www.arabianbusiness.com/business/retail/new-mall-set-to-open-in-dubai-in-august-2026" TargetMode="External" Id="rId7"/><Relationship Type="http://schemas.openxmlformats.org/officeDocument/2006/relationships/hyperlink" Target="https://bakivaxti.az/az/posts/detail/bakida-bu-mallin-fealiyyete-baslama-tarixi-aciqlandi-1787217802" TargetMode="External" Id="rId8"/><Relationship Type="http://schemas.openxmlformats.org/officeDocument/2006/relationships/hyperlink" Target="https://www.majidalfuttaim.com/en/media-centre/press-releases/detail/2026/06/majid-al-futtaim-officially-breaks-ground-on-junction-with-egp-500-million-in-enabling-works" TargetMode="External" Id="rId9"/><Relationship Type="http://schemas.openxmlformats.org/officeDocument/2006/relationships/hyperlink" Target="https://www.egygatenews.com/2026/08/tig-developments-launches-way-mall-and.html" TargetMode="External" Id="rId10"/><Relationship Type="http://schemas.openxmlformats.org/officeDocument/2006/relationships/hyperlink" Target="https://jordangate.jo/news/" TargetMode="External" Id="rId11"/><Relationship Type="http://schemas.openxmlformats.org/officeDocument/2006/relationships/hyperlink" Target="https://forbes.kz/articles/novyy-proekt-nurlana-smagulova-v-astane-otkroetsya-trts-s-tropicheskim-sadom-df5529" TargetMode="External" Id="rId12"/><Relationship Type="http://schemas.openxmlformats.org/officeDocument/2006/relationships/hyperlink" Target="https://www.challenge.ma/morocco-mall-marrakech-une-inauguration-repoussee-a-2027-319369/" TargetMode="External" Id="rId13"/><Relationship Type="http://schemas.openxmlformats.org/officeDocument/2006/relationships/hyperlink" Target="https://businessday.ng/life/article/orca-deco-expands-frontiers-set-to-build-its-second-mall-in-abuja/" TargetMode="External" Id="rId14"/><Relationship Type="http://schemas.openxmlformats.org/officeDocument/2006/relationships/hyperlink" Target="https://www.agbi.com/retail/2026/06/cenomi-centers-awards-346m-contract-for-al-khobar-mall/" TargetMode="External" Id="rId15"/><Relationship Type="http://schemas.openxmlformats.org/officeDocument/2006/relationships/hyperlink" Target="https://maaal.com/en/news/details/al-othaim-park-surpasses/" TargetMode="External" Id="rId16"/><Relationship Type="http://schemas.openxmlformats.org/officeDocument/2006/relationships/hyperlink" Target="https://www.zawya.com/en/press-release/companies-news/cenomi-centers-to-operate-iconic-new-barakah-mall-in-makkah-ct2i4nzv" TargetMode="External" Id="rId17"/><Relationship Type="http://schemas.openxmlformats.org/officeDocument/2006/relationships/hyperlink" Target="https://www.agbi.com/retail/2026/08/expansion-costs-bite-into-earnings-at-cenomi-centers/" TargetMode="External" Id="rId18"/><Relationship Type="http://schemas.openxmlformats.org/officeDocument/2006/relationships/hyperlink" Target="https://emlakkulisi.com/guncel/istanbul-yeni-avm-projeleri/1084036" TargetMode="External" Id="rId19"/><Relationship Type="http://schemas.openxmlformats.org/officeDocument/2006/relationships/hyperlink" Target="https://gulfnews.com/business/retail/7-new-uae-malls-opening-in-2026-maps-dates-highlights-unveiled-1.500401112" TargetMode="External" Id="rId20"/><Relationship Type="http://schemas.openxmlformats.org/officeDocument/2006/relationships/hyperlink" Target="https://gulfnews.com/business/retail/7-new-uae-malls-opening-in-2026-maps-dates-highlights-unveiled-1.500401112" TargetMode="External" Id="rId21"/><Relationship Type="http://schemas.openxmlformats.org/officeDocument/2006/relationships/hyperlink" Target="https://blog.wego.com/dubai-new-malls/" TargetMode="External" Id="rId22"/><Relationship Type="http://schemas.openxmlformats.org/officeDocument/2006/relationships/hyperlink" Target="https://gulfnews.com/business/property/palm-jebel-alis-first-retail-hub-revealed-with-26-new-concepts-1.500669544" TargetMode="External" Id="rId23"/><Relationship Type="http://schemas.openxmlformats.org/officeDocument/2006/relationships/hyperlink" Target="https://www.zawya.com/en/business/retail-and-consumer/al-emarat-development-debuts-in-egypt-with-first-plaza-mall-launch-djrab7u0" TargetMode="External" Id="rId24"/><Relationship Type="http://schemas.openxmlformats.org/officeDocument/2006/relationships/hyperlink" Target="https://www.zawya.com/en/projects/construction/egypts-white-eagle-developments-launches-new-mall-in-the-new-administrative-capital-ou9d1d06" TargetMode="External" Id="rId25"/><Relationship Type="http://schemas.openxmlformats.org/officeDocument/2006/relationships/hyperlink" Target="https://www.akchabar.kg/en/news/novij-oshskij-bazar-v-bishkeke-planiruyut-otkrit-do-avgusta-2026-goda-nyayxgvnxbwyictj" TargetMode="External" Id="rId26"/><Relationship Type="http://schemas.openxmlformats.org/officeDocument/2006/relationships/hyperlink" Target="https://businessday.ng/life/article/orca-deco-expands-frontiers-set-to-build-its-second-mall-in-abuja/" TargetMode="External" Id="rId27"/><Relationship Type="http://schemas.openxmlformats.org/officeDocument/2006/relationships/hyperlink" Target="https://www.zawya.com/en/press-release/companies-news/gwc-group-signs-15-year-leasing-agreement-with-safari-shopping-centre-at-logistics-village-qatar-418500" TargetMode="External" Id="rId28"/><Relationship Type="http://schemas.openxmlformats.org/officeDocument/2006/relationships/hyperlink" Target="https://www.malatyasoz.com/turkiyede-2026-sonuna-kadar-7-yeni-avm-acilacak" TargetMode="External" Id="rId29"/><Relationship Type="http://schemas.openxmlformats.org/officeDocument/2006/relationships/hyperlink" Target="https://www.luluretail.com/media/news/lulu-partners-with-al-lul-group-to-develop-new-retail-destination-in-baniyas-abu-dhabi/" TargetMode="External" Id="rId30"/><Relationship Type="http://schemas.openxmlformats.org/officeDocument/2006/relationships/hyperlink" Target="https://gulfnews.com/business/retail/7-new-uae-malls-opening-in-2026-maps-dates-highlights-unveiled-1.500401112" TargetMode="External" Id="rId31"/><Relationship Type="http://schemas.openxmlformats.org/officeDocument/2006/relationships/hyperlink" Target="https://www.ariananews.af/eight-story-commercial-market-to-be-built-in-kabuls-mandawi-area/" TargetMode="External" Id="rId32"/><Relationship Type="http://schemas.openxmlformats.org/officeDocument/2006/relationships/hyperlink" Target="https://www.constructionweekonline.com/news/bahrain-plans-six-flags-theme-park-in-bid-to-create-new-gcc-entertainment-hub" TargetMode="External" Id="rId33"/><Relationship Type="http://schemas.openxmlformats.org/officeDocument/2006/relationships/hyperlink" Target="https://www.tradingview.com/news/reuters.com,2026-09-21:newsml_Zaw3HjmmZ:0-kuwait-s-urc-unit-launches-31-780-sqm-mixed-use-project-in-cairo/" TargetMode="External" Id="rId34"/><Relationship Type="http://schemas.openxmlformats.org/officeDocument/2006/relationships/hyperlink" Target="https://www.thenationalnews.com/business/2026/06/21/uaes-majid-al-futtaim-signs-31bn-urban-development-project-in-egypt/" TargetMode="External" Id="rId35"/><Relationship Type="http://schemas.openxmlformats.org/officeDocument/2006/relationships/hyperlink" Target="https://www.dailynewsegypt.com/2026/07/05/juzur-signs-mou-with-hossam-fahmy-consultancy-for-new-cairo-mixed-use-project/" TargetMode="External" Id="rId36"/><Relationship Type="http://schemas.openxmlformats.org/officeDocument/2006/relationships/hyperlink" Target="https://www.dailynewsegypt.com/2026/08/16/zawaya-edic-to-develop-egp-3-5bn-sia-boulevard-in-west-cairo/" TargetMode="External" Id="rId37"/><Relationship Type="http://schemas.openxmlformats.org/officeDocument/2006/relationships/hyperlink" Target="https://www.tradingview.com/news/reuters.com,2026-07-13:newsml_Zaw9vB5Hw:0-zawya-gulf-egypt-plans-401mln-mixed-use-tourism-project-in-sharm-el-sheikh/" TargetMode="External" Id="rId38"/><Relationship Type="http://schemas.openxmlformats.org/officeDocument/2006/relationships/hyperlink" Target="https://enterpriseam.com/egypt/2026/07/20/somou-boulevard-is-paragons-wager-that-egypts-compound-obsessed-market-is-ready-for-something-different/" TargetMode="External" Id="rId39"/><Relationship Type="http://schemas.openxmlformats.org/officeDocument/2006/relationships/hyperlink" Target="https://www.dailynewsegypt.com/2026/07/05/dubai-development-launches-walkn-mixed-use-project-in-west-cairo/" TargetMode="External" Id="rId40"/><Relationship Type="http://schemas.openxmlformats.org/officeDocument/2006/relationships/hyperlink" Target="https://24.kz/ru/news/polezno-znat/772320-astana-na-maksimalkakh-kuda-pereselyat-dachnikov-i-gde-postroyat-mega-trts-s-akvaparkom" TargetMode="External" Id="rId41"/><Relationship Type="http://schemas.openxmlformats.org/officeDocument/2006/relationships/hyperlink" Target="https://timesca.com/kazakhstan-to-launch-first-international-outlet-center/" TargetMode="External" Id="rId42"/><Relationship Type="http://schemas.openxmlformats.org/officeDocument/2006/relationships/hyperlink" Target="https://open.kg/en/news/local-news/111126-v-batkene-stroitsja-sovremennyj-optovo-torgovyj-kompleks.html" TargetMode="External" Id="rId43"/><Relationship Type="http://schemas.openxmlformats.org/officeDocument/2006/relationships/hyperlink" Target="https://www.muscatdaily.com/2026/09/14/va-group-secures-land-rights-for-muttrah-waterfront-development/" TargetMode="External" Id="rId44"/><Relationship Type="http://schemas.openxmlformats.org/officeDocument/2006/relationships/hyperlink" Target="https://www.qatar-tribune.com/article/241047/business/yusuffali-announces-lulu-retail-expansion-plan-marks-one-million-loyalty-members" TargetMode="External" Id="rId45"/><Relationship Type="http://schemas.openxmlformats.org/officeDocument/2006/relationships/hyperlink" Target="https://www.agbi.com/retail/2026/08/cenomi-centers-agrees-deal-with-pif-for-mall-in-medina/" TargetMode="External" Id="rId46"/><Relationship Type="http://schemas.openxmlformats.org/officeDocument/2006/relationships/hyperlink" Target="https://www.saudigulfprojects.com/2026/07/knowledge-economic-city-signs-agreement-with-bsf-capital-to-establish-sar-7-5-billion-fund-for-knowledge-gardens-development-in-madinah/" TargetMode="External" Id="rId47"/><Relationship Type="http://schemas.openxmlformats.org/officeDocument/2006/relationships/hyperlink" Target="https://sagaciresearch.com/one-tunisian-mall-nears-completion-while-another-will-break-ground-soon/" TargetMode="External" Id="rId48"/><Relationship Type="http://schemas.openxmlformats.org/officeDocument/2006/relationships/hyperlink" Target="https://www.hurriyetdailynews.com/seven-new-shopping-malls-to-open-by-end-of-2026-212041" TargetMode="External" Id="rId49"/><Relationship Type="http://schemas.openxmlformats.org/officeDocument/2006/relationships/hyperlink" Target="https://mallreport.com.tr/2026/08/28/atil-fabrika-avmye-donusecek/" TargetMode="External" Id="rId50"/><Relationship Type="http://schemas.openxmlformats.org/officeDocument/2006/relationships/hyperlink" Target="https://www.yenimalatya.com.tr/haber/28573726/belediye-baskani-acikladi-malatya-park-avm-donemi-kapaniyor" TargetMode="External" Id="rId51"/><Relationship Type="http://schemas.openxmlformats.org/officeDocument/2006/relationships/hyperlink" Target="https://www.arabianbusiness.com/industries/retail/emaar-unveils-dubai-square-the-worlds-first-drive-through-mall" TargetMode="External" Id="rId52"/><Relationship Type="http://schemas.openxmlformats.org/officeDocument/2006/relationships/hyperlink" Target="https://www.zawya.com/en/projects/aldar-to-begin-enabling-work-on-27bln-marsa-al-saadiyat-in-q3-2026-408290" TargetMode="External" Id="rId53"/><Relationship Type="http://schemas.openxmlformats.org/officeDocument/2006/relationships/hyperlink" Target="https://tradearabia.com/News/464855/Avenew%2c-Kora-unveil-%241.6bn-mixed-use-destination-at-Dubai-Motor-City" TargetMode="External" Id="rId54"/><Relationship Type="http://schemas.openxmlformats.org/officeDocument/2006/relationships/hyperlink" Target="https://www.thenationalnews.com/business/2026/07/10/aldar-unveils-plans-for-163bn-yas-point-to-boost-abu-dhabis-lifestyle-appeal/" TargetMode="External" Id="rId55"/><Relationship Type="http://schemas.openxmlformats.org/officeDocument/2006/relationships/hyperlink" Target="https://kun.uz/en/news/2026/07/30/tashkent-to-privatize-35-markets-and-shopping-complexes" TargetMode="External" Id="rId56"/><Relationship Type="http://schemas.openxmlformats.org/officeDocument/2006/relationships/hyperlink" Target="https://www.thisdaylive.com/2026/09/04/westmead-mall-opens-new-outlet-in-ibadan/" TargetMode="External" Id="rId57"/><Relationship Type="http://schemas.openxmlformats.org/officeDocument/2006/relationships/hyperlink" Target="https://timesofoman.com" TargetMode="External" Id="rId58"/><Relationship Type="http://schemas.openxmlformats.org/officeDocument/2006/relationships/hyperlink" Target="http://thepeninsulaqatar.com/article/20/08/2026/nesto-opens-first-qatar-hypermarket-plans-eight-more-outlets" TargetMode="External" Id="rId59"/></Relationships>
</file>

<file path=xl/worksheets/_rels/sheet9.xml.rels><Relationships xmlns="http://schemas.openxmlformats.org/package/2006/relationships"><Relationship Type="http://schemas.openxmlformats.org/officeDocument/2006/relationships/hyperlink" Target="https://www.agbi.com/real-estate/2026/08/developer-mabanees-profits-slide-as-war-hurts-kuwait-hotels/" TargetMode="External" Id="rId1"/><Relationship Type="http://schemas.openxmlformats.org/officeDocument/2006/relationships/hyperlink" Target="https://libyaherald.com/2026/04/lidco-discusses-with-turkey-mechanisms-to-reactivate-stalled-projects-and-new-projects/" TargetMode="External" Id="rId2"/><Relationship Type="http://schemas.openxmlformats.org/officeDocument/2006/relationships/hyperlink" Target="https://marhaba.qa/a-resilient-retail-market/" TargetMode="External" Id="rId3"/><Relationship Type="http://schemas.openxmlformats.org/officeDocument/2006/relationships/hyperlink" Target="https://www.rli.uk.com/anticipated-project-openings-2/" TargetMode="External" Id="rId4"/><Relationship Type="http://schemas.openxmlformats.org/officeDocument/2006/relationships/hyperlink" Target="https://www.agbi.com/retail/2026/08/expansion-costs-bite-into-earnings-at-cenomi-centers/" TargetMode="External" Id="rId5"/><Relationship Type="http://schemas.openxmlformats.org/officeDocument/2006/relationships/hyperlink" Target="https://www.sahmcapital.com/news/content/cenomi-centers-secures-sar-27b-facility-for-westfield-riyadh-2026-07-16" TargetMode="External" Id="rId6"/><Relationship Type="http://schemas.openxmlformats.org/officeDocument/2006/relationships/hyperlink" Target="https://www.zawya.com/en/press-release/companies-news/seef-properties-appoints-cinqo-contracting-to-execute-new-package-of-construction-works-404062" TargetMode="External" Id="rId7"/><Relationship Type="http://schemas.openxmlformats.org/officeDocument/2006/relationships/hyperlink" Target="https://www.iraqinews.com/iraq/iraq-mall-baghdad-grand-opening/" TargetMode="External" Id="rId8"/><Relationship Type="http://schemas.openxmlformats.org/officeDocument/2006/relationships/hyperlink" Target="https://www.tamdeen.com/news/360-mall-to-open-doors-for-shoppers-on-july-5th" TargetMode="External" Id="rId9"/><Relationship Type="http://schemas.openxmlformats.org/officeDocument/2006/relationships/hyperlink" Target="https://www.zawya.com/en/projects/construction/mabanees-kuwait-projects-on-track-despite-regional-uncertainties-lagoj7k0" TargetMode="External" Id="rId10"/><Relationship Type="http://schemas.openxmlformats.org/officeDocument/2006/relationships/hyperlink" Target="https://businessday.ng/bd-weekender/article/beyond-commerce-ojaja-mall-emerges-as-lagos-newest-hub-for-culture-ai-and-community/" TargetMode="External" Id="rId11"/><Relationship Type="http://schemas.openxmlformats.org/officeDocument/2006/relationships/hyperlink" Target="https://allure.vanguardngr.com/2026/08/mothercare-opens-new-store-at-purple-mall-lekki/" TargetMode="External" Id="rId12"/><Relationship Type="http://schemas.openxmlformats.org/officeDocument/2006/relationships/hyperlink" Target="https://thepeninsulaqatar.com/article/06/09/2026/doha-festival-city-wins-best-mall-award-for-its-hala-summer-2026-campaign" TargetMode="External" Id="rId13"/><Relationship Type="http://schemas.openxmlformats.org/officeDocument/2006/relationships/hyperlink" Target="https://tradearabia.com/News/466365/KEC-in-deal-with-Apparel-Group-to-bring-24-retail-dining-brands-to-Madinah-mall/RET" TargetMode="External" Id="rId14"/><Relationship Type="http://schemas.openxmlformats.org/officeDocument/2006/relationships/hyperlink" Target="https://www.gulfconstructiononline.com/Article/388014/" TargetMode="External" Id="rId15"/><Relationship Type="http://schemas.openxmlformats.org/officeDocument/2006/relationships/hyperlink" Target="https://saudigazette.com.sa/article/657091/BUSINESS/Westfield-Dammam-unveiled-as-Cenomi-Centers-launches-first-Westfield-branded-destination-in-Saudi-Arabia" TargetMode="External" Id="rId16"/><Relationship Type="http://schemas.openxmlformats.org/officeDocument/2006/relationships/hyperlink" Target="https://www.zawya.com/en/business/retail-and-consumer/dubai-holding-asset-management-launches-dubai-retail-as-unified-brand-c3sq2ail" TargetMode="External" Id="rId17"/><Relationship Type="http://schemas.openxmlformats.org/officeDocument/2006/relationships/hyperlink" Target="https://www.majidalfuttaim.com/en/media-centre/press-releases/detail/2025/10/majid-al-futtaim-announces-ghaf-woods-mall" TargetMode="External" Id="rId18"/><Relationship Type="http://schemas.openxmlformats.org/officeDocument/2006/relationships/hyperlink" Target="https://www.agbi.com/real-estate/2026/07/abu-dhabis-mall-of-al-ain-to-start-expansion-work-this-year/" TargetMode="External" Id="rId19"/><Relationship Type="http://schemas.openxmlformats.org/officeDocument/2006/relationships/hyperlink" Target="https://www.zawya.com/en/business/retail-and-consumer/dubai-holding-asset-management-launches-dubai-retail-as-unified-brand-c3sq2ail" TargetMode="External" Id="rId20"/><Relationship Type="http://schemas.openxmlformats.org/officeDocument/2006/relationships/hyperlink" Target="https://gulfnews.com/business/retail/7-new-uae-malls-opening-in-2026-maps-dates-highlights-unveiled-1.500401112" TargetMode="External" Id="rId21"/><Relationship Type="http://schemas.openxmlformats.org/officeDocument/2006/relationships/hyperlink" Target="https://gulfbusiness.com/primark-qatar-bahrain-stores/" TargetMode="External" Id="rId22"/><Relationship Type="http://schemas.openxmlformats.org/officeDocument/2006/relationships/hyperlink" Target="https://www.newsofbahrain.com/business/139917.html" TargetMode="External" Id="rId23"/><Relationship Type="http://schemas.openxmlformats.org/officeDocument/2006/relationships/hyperlink" Target="https://www.zawya.com/en/press-release/companies-news/stc-bahrain-launches-next-generation-flagship-store-at-the-avenues-mall-new-extension-wmwrrk11" TargetMode="External" Id="rId24"/><Relationship Type="http://schemas.openxmlformats.org/officeDocument/2006/relationships/hyperlink" Target="https://www.tamdeen.com/news/tamdeen-group-launches-al-khiran-the-regions-first-hybrid-outlet-mall" TargetMode="External" Id="rId25"/><Relationship Type="http://schemas.openxmlformats.org/officeDocument/2006/relationships/hyperlink" Target="https://hudson.com.mt/blog/2026/07/20/mango-relocates-to-a-prime-new-location-at-morocco-mall/" TargetMode="External" Id="rId26"/><Relationship Type="http://schemas.openxmlformats.org/officeDocument/2006/relationships/hyperlink" Target="https://www.omanobserver.om/article/1192359/oman/community/mall-of-muscat-launches-century-cinemas" TargetMode="External" Id="rId27"/><Relationship Type="http://schemas.openxmlformats.org/officeDocument/2006/relationships/hyperlink" Target="https://www.zawya.com/en/press-release/companies-news/oman-avenues-mall-expands-its-retail-landscape-with-the-all-new-centrepoint-store-hcn74wm4" TargetMode="External" Id="rId28"/><Relationship Type="http://schemas.openxmlformats.org/officeDocument/2006/relationships/hyperlink" Target="https://propakistani.pk/2026/06/29/the-ultimate-foodie-upgrade-yum-eth-have-officially-landed-at-dolmen-mall-clifton/" TargetMode="External" Id="rId29"/><Relationship Type="http://schemas.openxmlformats.org/officeDocument/2006/relationships/hyperlink" Target="https://images.dawn.com/news/1195528/have-ysl-beauty-and-armani-beauty-actually-launched-in-lahore" TargetMode="External" Id="rId30"/><Relationship Type="http://schemas.openxmlformats.org/officeDocument/2006/relationships/hyperlink" Target="https://www.qatarliving.com/en/article/doha-mall-strengthens-position-as-south-doha-s-emerging-retail-and-family-destination" TargetMode="External" Id="rId31"/><Relationship Type="http://schemas.openxmlformats.org/officeDocument/2006/relationships/hyperlink" Target="https://thepeninsulaqatar.com/article/11/08/2026/retail-market-holds-steady-in-q2-2026" TargetMode="External" Id="rId32"/><Relationship Type="http://schemas.openxmlformats.org/officeDocument/2006/relationships/hyperlink" Target="https://www.argaam.com/en/article/articledetail/id/1925958" TargetMode="External" Id="rId33"/><Relationship Type="http://schemas.openxmlformats.org/officeDocument/2006/relationships/hyperlink" Target="https://www.zawya.com/en/business/retail-and-consumer/lulu-further-strengthens-jeddah-presence-with-opening-its-first-store-at-aziz-mall-marking-its-partnership-giqt23n6" TargetMode="External" Id="rId34"/><Relationship Type="http://schemas.openxmlformats.org/officeDocument/2006/relationships/hyperlink" Target="https://www.agbi.com/construction/2026/08/diriyah-secures-533m-loan-to-build-branded-residences/" TargetMode="External" Id="rId35"/><Relationship Type="http://schemas.openxmlformats.org/officeDocument/2006/relationships/hyperlink" Target="https://www.majidalfuttaim.com/docs/default-source/press-releases/maf-appointment-of-aecom-for-mall-of-saudi-development.pdf" TargetMode="External" Id="rId36"/><Relationship Type="http://schemas.openxmlformats.org/officeDocument/2006/relationships/hyperlink" Target="https://www.majidalfuttaim.com/en/media-centre/press-releases/detail/2026/07/majid-al-futtaim-officially-opens-explorers--a-new-era-of-family-entertainment-with-immersive-free-play-and-workshops-all-under-one-roof" TargetMode="External" Id="rId37"/><Relationship Type="http://schemas.openxmlformats.org/officeDocument/2006/relationships/hyperlink" Target="https://hotelandcatering.com/fb/off-the-hook-and-zutto-suki-ramen-to-launch-first-dual-concept-at-dalma-mall-abu-dhabi" TargetMode="External" Id="rId38"/><Relationship Type="http://schemas.openxmlformats.org/officeDocument/2006/relationships/hyperlink" Target="https://www.harpersbazaararabia.com/hbanews/ulta-beauty-is-now-open-at-dubai-hills-mall-with-over-20-new-brands-in-tow" TargetMode="External" Id="rId39"/><Relationship Type="http://schemas.openxmlformats.org/officeDocument/2006/relationships/hyperlink" Target="https://www.zawya.com/en/press-release/companies-news/majid-al-futtaims-vox-cinemas-at-mall-of-the-emirates-recognised-as-the-first-fully-accessible-cinema-in-the-middle-east-p954llq7" TargetMode="External" Id="rId40"/><Relationship Type="http://schemas.openxmlformats.org/officeDocument/2006/relationships/hyperlink" Target="https://gulfnews.com/business/retail/7-new-uae-malls-opening-in-2026-maps-dates-highlights-unveiled-1.500401112" TargetMode="External" Id="rId41"/><Relationship Type="http://schemas.openxmlformats.org/officeDocument/2006/relationships/hyperlink" Target="https://www.biztoday.news/2026/07/14/palmonas-debuts-in-middle-east-with-first-ever-international-store-at-reem-mall-abu-dhabi/" TargetMode="External" Id="rId42"/><Relationship Type="http://schemas.openxmlformats.org/officeDocument/2006/relationships/hyperlink" Target="https://whatson.ae/2026/08/new-shops-and-restaurants-coming-to-the-galleria-abu-dhabi/" TargetMode="External" Id="rId43"/></Relationships>
</file>

<file path=xl/worksheets/_rels/sheet10.xml.rels><Relationships xmlns="http://schemas.openxmlformats.org/package/2006/relationships"><Relationship Type="http://schemas.openxmlformats.org/officeDocument/2006/relationships/hyperlink" Target="https://www.argaam.com/en/article/articledetail/id/1925958" TargetMode="External" Id="rId1"/><Relationship Type="http://schemas.openxmlformats.org/officeDocument/2006/relationships/hyperlink" Target="https://gulfnews.com/business/retail/saudi-arabia-malls-shops-in-riyadh-to-get-28-bigger-by-2026-1.1720597854660" TargetMode="External" Id="rId2"/><Relationship Type="http://schemas.openxmlformats.org/officeDocument/2006/relationships/hyperlink" Target="https://www.zawya.com/en/press-release/companies-news/shamal-unveils-the-grand-a-curated-retail-and-lifestyle-destination-at-nad-al-sheba-gardens-413383" TargetMode="External" Id="rId3"/><Relationship Type="http://schemas.openxmlformats.org/officeDocument/2006/relationships/hyperlink" Target="https://cmwp.uz/en/article/78" TargetMode="External" Id="rId4"/><Relationship Type="http://schemas.openxmlformats.org/officeDocument/2006/relationships/hyperlink" Target="https://libyaherald.com/2026/06/first-mall-opens-as-libyas-largest-shopping-mall-after-a-hiatus-of-more-than-15-years-of-stop-start-construction" TargetMode="External" Id="rId5"/><Relationship Type="http://schemas.openxmlformats.org/officeDocument/2006/relationships/hyperlink" Target="https://www.arabianbusiness.com/business/retail/primark-opens-first-uae-store-in-dubai-mall-plans-2-more-dubai-locations-as-middle-east-expansion-accelerates" TargetMode="External" Id="rId6"/><Relationship Type="http://schemas.openxmlformats.org/officeDocument/2006/relationships/hyperlink" Target="https://gulfnews.com/business/retail/gcc-malls-need-new-revenue-models-with-ai-changing-shopper-habits-1.500582833" TargetMode="External" Id="rId7"/><Relationship Type="http://schemas.openxmlformats.org/officeDocument/2006/relationships/hyperlink" Target="https://www.advanced-television.com/2026/06/29/mbc-group-cenomi-centers-launch-live-media-experience-at-westfield-riyadh/" TargetMode="External" Id="rId8"/><Relationship Type="http://schemas.openxmlformats.org/officeDocument/2006/relationships/hyperlink" Target="https://www.thenationalnews.com/business/economy/2026/07/03/uaes-non-oil-business-activity-grows-at-slowest-pace-in-five-years-in-june-amid-fallout-of-iran-war/" TargetMode="External" Id="rId9"/><Relationship Type="http://schemas.openxmlformats.org/officeDocument/2006/relationships/hyperlink" Target="https://mallreport.com.tr/2026/08/27/avmlerde-ciro-artisi-enflasyona-yenildi/" TargetMode="External" Id="rId10"/><Relationship Type="http://schemas.openxmlformats.org/officeDocument/2006/relationships/hyperlink" Target="https://www.qatar-tribune.com/article/250593/business/hmk-capital-completes-qr18-billion-real-estate-acquisitions-for-salwa-reit/amp" TargetMode="External" Id="rId11"/><Relationship Type="http://schemas.openxmlformats.org/officeDocument/2006/relationships/hyperlink" Target="https://www.agbi.com/real-estate/2026/08/developer-mabanees-profits-slide-as-war-hurts-kuwait-hotels/" TargetMode="External" Id="rId12"/><Relationship Type="http://schemas.openxmlformats.org/officeDocument/2006/relationships/hyperlink" Target="https://www.zawya.com/en/press-release/companies-news/majid-al-futtaims-vox-cinemas-at-mall-of-the-emirates-recognised-as-the-first-fully-accessible-cinema-in-the-middle-east-p954llq7" TargetMode="External" Id="rId13"/><Relationship Type="http://schemas.openxmlformats.org/officeDocument/2006/relationships/hyperlink" Target="https://www.iraqinews.com/iraq/iraq-mall-baghdad-grand-opening/" TargetMode="External" Id="rId14"/></Relationships>
</file>

<file path=xl/worksheets/sheet1.xml><?xml version="1.0" encoding="utf-8"?>
<worksheet xmlns="http://schemas.openxmlformats.org/spreadsheetml/2006/main">
  <sheetPr>
    <outlinePr summaryBelow="1" summaryRight="1"/>
    <pageSetUpPr fitToPage="1"/>
  </sheetPr>
  <dimension ref="A1:B33"/>
  <sheetViews>
    <sheetView showGridLines="0" workbookViewId="0">
      <selection activeCell="A1" sqref="A1"/>
    </sheetView>
  </sheetViews>
  <sheetFormatPr baseColWidth="8" defaultRowHeight="14.25"/>
  <cols>
    <col width="24" customWidth="1" style="72" min="1" max="1"/>
    <col width="112" customWidth="1" style="72" min="2" max="2"/>
  </cols>
  <sheetData>
    <row r="1" ht="20.65" customHeight="1" s="72">
      <c r="A1" s="1" t="inlineStr">
        <is>
          <t>MECSR DIRECTORY 2027 — CONTENT TRACKER</t>
        </is>
      </c>
    </row>
    <row r="2" s="72">
      <c r="A2" s="74" t="inlineStr">
        <is>
          <t>What each signed partner is owed in the 2027 Directory, and the 384-page plan it all has to fit into.</t>
        </is>
      </c>
    </row>
    <row r="3" s="72"/>
    <row r="4" s="72">
      <c r="A4" s="3" t="n"/>
      <c r="B4" s="4" t="n"/>
    </row>
    <row r="5" ht="38.25" customHeight="1" s="72">
      <c r="A5" s="5" t="inlineStr">
        <is>
          <t>SOURCE</t>
        </is>
      </c>
      <c r="B5" s="4" t="inlineStr">
        <is>
          <t>RCM_2026_FINAL_MATRIX_v2.xlsx › sheet '🤝SPONSOR' (OneDrive: 01. RCM PROPOSAL SIGNED), refreshed 8 Oct 2026 — 16 paid agreements, USD 1,077,398 net, plus 4 barter agreements (Champion Group not yet confirmed). Seat counts checked against the signed contracts for MRI Software, Kingdom Centre and Ground Control. Membership from your membership workbook; listings from the Brilliant Directories export of 3 Sep 2026; intel from the MECSR daily and weekly reports, 16 Jun – 25 Sep 2026.</t>
        </is>
      </c>
    </row>
    <row r="6" s="72">
      <c r="A6" s="5" t="inlineStr">
        <is>
          <t>UPDATED</t>
        </is>
      </c>
      <c r="B6" s="4" t="inlineStr">
        <is>
          <t>13 Oct 2026 — sample book v14: Retail Congress MENA 2026 photographs on the MENA Awards page (66) and the other house ads (67–69), each showcase sponsor's own congress stand on its imagery page (21–31), and stand-ins on the Expert Views (38–54), the leadership messages (6–8) and the Title Partner page (2); the MECSR Verified seal on the 341 listings that carry a photograph and on the 7 Must-Visit pages, explained on p78. Earlier — 12 Oct 2026 — sample book v13: every QR code taken out of print (listing addresses change when a listing is renamed); pages 5, 78 and 381 rewritten to match. Earlier — 10 Oct 2026 — RCM matrix of 8 Oct applied (Champion Group provisional, Ground Control, Kingdom Centre, Dhamani, Eleva AI); 04 Flat Plan moved to the v12 pagination (every spread starts on a left-hand page); intel sheets 10–12 and a book QA sheet (13) added.</t>
        </is>
      </c>
    </row>
    <row r="7" s="72">
      <c r="A7" s="5" t="inlineStr">
        <is>
          <t>HOW TO USE</t>
        </is>
      </c>
      <c r="B7" s="4" t="n"/>
    </row>
    <row r="8" s="72">
      <c r="A8" s="5" t="inlineStr">
        <is>
          <t xml:space="preserve">  1</t>
        </is>
      </c>
      <c r="B8" s="4" t="inlineStr">
        <is>
          <t>Each sheet lists only the companies holding that entitlement. If a company is not on a sheet, it bought nothing in that category.</t>
        </is>
      </c>
    </row>
    <row r="9" s="72">
      <c r="A9" s="5" t="inlineStr">
        <is>
          <t xml:space="preserve">  2</t>
        </is>
      </c>
      <c r="B9" s="4" t="inlineStr">
        <is>
          <t>BLUE TEXT is the contracted entitlement — do not edit. YELLOW cells are yours to fill in.</t>
        </is>
      </c>
    </row>
    <row r="10" s="72">
      <c r="A10" s="5" t="inlineStr">
        <is>
          <t xml:space="preserve">  3</t>
        </is>
      </c>
      <c r="B10" s="4" t="inlineStr">
        <is>
          <t>Use the Status dropdown so the Overview counts stay accurate.</t>
        </is>
      </c>
    </row>
    <row r="11" s="72">
      <c r="A11" s="5" t="inlineStr">
        <is>
          <t xml:space="preserve">  4</t>
        </is>
      </c>
      <c r="B11" s="4" t="inlineStr">
        <is>
          <t>Dates as YYYY-MM-DD. Add new agreements as a new row on each sheet where they hold an entitlement.</t>
        </is>
      </c>
    </row>
    <row r="12" s="72">
      <c r="A12" s="3" t="n"/>
      <c r="B12" s="4" t="n"/>
    </row>
    <row r="13" s="72">
      <c r="A13" s="5" t="inlineStr">
        <is>
          <t>SHEETS</t>
        </is>
      </c>
      <c r="B13" s="4" t="n"/>
    </row>
    <row r="14" s="72">
      <c r="A14" s="5" t="inlineStr">
        <is>
          <t xml:space="preserve">  01 RPM</t>
        </is>
      </c>
      <c r="B14" s="4" t="inlineStr">
        <is>
          <t>Retail People Magazine — advertising and profile features. 17 companies (Champion Group provisional).</t>
        </is>
      </c>
    </row>
    <row r="15" s="72">
      <c r="A15" s="5" t="inlineStr">
        <is>
          <t xml:space="preserve">  02 Ads</t>
        </is>
      </c>
      <c r="B15" s="4" t="inlineStr">
        <is>
          <t>MECSR Directory 2027 advertising placements. 9 companies (Champion Group provisional).</t>
        </is>
      </c>
    </row>
    <row r="16" s="72">
      <c r="A16" s="5" t="inlineStr">
        <is>
          <t xml:space="preserve">  03 Corporate Members</t>
        </is>
      </c>
      <c r="B16" s="4" t="inlineStr">
        <is>
          <t>Sponsorship-granted seats. 16 companies, 179 seats (incl. Champion Group's 2, provisional).</t>
        </is>
      </c>
    </row>
    <row r="17" ht="25.5" customHeight="1" s="72">
      <c r="A17" s="5" t="inlineStr">
        <is>
          <t xml:space="preserve">  04 Flat Plan</t>
        </is>
      </c>
      <c r="B17" s="4" t="inlineStr">
        <is>
          <t>The full 384-page plan for 2027 — every article, feature, ad and listing block with its page numbers, the 2026 position it came from, and its production status. Includes a deadline cascade driven by one press-date cell.</t>
        </is>
      </c>
    </row>
    <row r="18" s="72">
      <c r="A18" s="5" t="inlineStr">
        <is>
          <t xml:space="preserve">  05 Service Providers</t>
        </is>
      </c>
      <c r="B18" s="4" t="inlineStr">
        <is>
          <t>The 19 service-provider categories behind pages 330–349, with the verification and outreach campaign tracked per category.</t>
        </is>
      </c>
    </row>
    <row r="19" s="72">
      <c r="A19" s="5" t="inlineStr">
        <is>
          <t xml:space="preserve">  06 Expert Views</t>
        </is>
      </c>
      <c r="B19" s="4" t="inlineStr">
        <is>
          <t>The nine expert-view spreads on pages 38–55, with the 2027 company, author and proposed title for each.</t>
        </is>
      </c>
    </row>
    <row r="20" ht="25.5" customHeight="1" s="72">
      <c r="A20" s="5" t="inlineStr">
        <is>
          <t xml:space="preserve">  07 Membership</t>
        </is>
      </c>
      <c r="B20" s="4" t="inlineStr">
        <is>
          <t>Not in this edition — kept on OneDrive only, because it holds personal data.</t>
        </is>
      </c>
    </row>
    <row r="21" ht="25.5" customHeight="1" s="72">
      <c r="A21" s="5" t="inlineStr">
        <is>
          <t xml:space="preserve">  08 BD Reconciliation</t>
        </is>
      </c>
      <c r="B21" s="4" t="inlineStr">
        <is>
          <t>Not in this edition — kept on OneDrive only, because it holds personal data.</t>
        </is>
      </c>
    </row>
    <row r="22" ht="25.5" customHeight="1" s="72">
      <c r="A22" s="5" t="inlineStr">
        <is>
          <t xml:space="preserve">  09 Listing Owners</t>
        </is>
      </c>
      <c r="B22" s="4" t="inlineStr">
        <is>
          <t>Not in this edition — kept on OneDrive only, because it holds personal data.</t>
        </is>
      </c>
    </row>
    <row r="23" ht="25.5" customHeight="1" s="72">
      <c r="A23" s="5" t="inlineStr">
        <is>
          <t xml:space="preserve">  10 Intel New Properties</t>
        </is>
      </c>
      <c r="B23" s="4" t="inlineStr">
        <is>
          <t>Malls and schemes the intel reports name that the 2027 dataset does not list — 7 to add now, 17 for the pipeline, 10 to check first, 26 to watch — with report dates, outlets, links and the next step.</t>
        </is>
      </c>
    </row>
    <row r="24" ht="25.5" customHeight="1" s="72">
      <c r="A24" s="5" t="inlineStr">
        <is>
          <t xml:space="preserve">  11 Intel Listing Updates</t>
        </is>
      </c>
      <c r="B24" s="4" t="inlineStr">
        <is>
          <t>45 changes for properties already listed — openings, delays, duplicates and size conflicts — with the listing page, what the book says now and what to change.</t>
        </is>
      </c>
    </row>
    <row r="25" ht="25.5" customHeight="1" s="72">
      <c r="A25" s="5" t="inlineStr">
        <is>
          <t xml:space="preserve">  12 Intel Article Ideas</t>
        </is>
      </c>
      <c r="B25" s="4" t="inlineStr">
        <is>
          <t>14 article ideas from the intel, each with the angle, where it fits, the facts and the sources to cite.</t>
        </is>
      </c>
    </row>
    <row r="26" ht="25.5" customHeight="1" s="72">
      <c r="A26" s="5" t="inlineStr">
        <is>
          <t xml:space="preserve">  13 Book QA</t>
        </is>
      </c>
      <c r="B26" s="4" t="inlineStr">
        <is>
          <t>Listings to fix before print: 37 mixed-use developments missing from the sample book's listing pages (including BurJuman and KEC Hub), three records marked for deletion, and ten possible duplicates.</t>
        </is>
      </c>
    </row>
    <row r="27" s="72">
      <c r="A27" s="5" t="inlineStr">
        <is>
          <t xml:space="preserve">  Overview</t>
        </is>
      </c>
      <c r="B27" s="4" t="inlineStr">
        <is>
          <t>All entitlements in one table, plus live counts by status.</t>
        </is>
      </c>
    </row>
    <row r="28" s="72">
      <c r="A28" s="3" t="n"/>
      <c r="B28" s="4" t="n"/>
    </row>
    <row r="29" ht="38.25" customHeight="1" s="72">
      <c r="A29" s="5" t="inlineStr">
        <is>
          <t>FLAT PLAN RULES</t>
        </is>
      </c>
      <c r="B29" s="4" t="inlineStr">
        <is>
          <t>Page positions are locked to 384 (24 signatures). Changing PP on one row means taking a page from another — the TOTAL PAGES cell tells you at once if the plan no longer balances. Structural rows (listings, index, methodology) come from the master dataset and need no chasing; commercial and editorial rows do.</t>
        </is>
      </c>
    </row>
    <row r="30" s="72">
      <c r="A30" s="3" t="n"/>
      <c r="B30" s="4" t="n"/>
    </row>
    <row r="31" ht="25.5" customHeight="1" s="72">
      <c r="A31" s="5" t="inlineStr">
        <is>
          <t>NOT IN THIS FILE</t>
        </is>
      </c>
      <c r="B31" s="4" t="inlineStr">
        <is>
          <t>Leadership interviews and press-release mentions are Retail Congress MENA event entitlements, not Directory content. Invoice numbers and payment status are tracked separately in finance.</t>
        </is>
      </c>
    </row>
    <row r="32" ht="25.5" customHeight="1" s="72">
      <c r="A32" s="5" t="inlineStr">
        <is>
          <t>DRIVES THE WEB PAGE</t>
        </is>
      </c>
      <c r="B32" s="4" t="inlineStr">
        <is>
          <t>Sheet 04 Flat Plan is read directly by MECSR_2027_Directory_Dossier.html. Put both files in the same GitHub repo folder, turn on GitHub Pages, and every edit you commit to this sheet shows on the page — no rebuild, no third file.</t>
        </is>
      </c>
    </row>
    <row r="33" s="72">
      <c r="A33" s="5" t="inlineStr">
        <is>
          <t>SHARING</t>
        </is>
      </c>
      <c r="B33" s="4" t="inlineStr">
        <is>
          <t>Share read/write with the production team via OneDrive, or commit alongside the dossier HTML to GitHub. Keep one master copy.</t>
        </is>
      </c>
    </row>
    <row r="34" s="72"/>
    <row r="35" s="72"/>
    <row r="36" s="72"/>
    <row r="37" s="72"/>
    <row r="38" s="72"/>
    <row r="39" s="72"/>
    <row r="40" s="72"/>
    <row r="41" s="72"/>
    <row r="42" s="72"/>
    <row r="43" s="72"/>
  </sheetData>
  <pageMargins left="0.75" right="0.75" top="1" bottom="1" header="0.5" footer="0.5"/>
  <pageSetup orientation="landscape" fitToHeight="0"/>
</worksheet>
</file>

<file path=xl/worksheets/sheet2.xml><?xml version="1.0" encoding="utf-8"?>
<worksheet xmlns="http://schemas.openxmlformats.org/spreadsheetml/2006/main">
  <sheetPr>
    <outlinePr summaryBelow="1" summaryRight="1"/>
    <pageSetUpPr fitToPage="1"/>
  </sheetPr>
  <dimension ref="A1:M23"/>
  <sheetViews>
    <sheetView showGridLines="0"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4.25"/>
  <cols>
    <col width="6" customWidth="1" style="72" min="1" max="1"/>
    <col width="36" customWidth="1" style="72" min="2" max="2"/>
    <col width="20" customWidth="1" style="72" min="3" max="3"/>
    <col width="34" customWidth="1" style="72" min="4" max="4"/>
    <col width="14" customWidth="1" style="72" min="5" max="6"/>
    <col width="20" customWidth="1" style="72" min="7" max="7"/>
    <col width="16" customWidth="1" style="72" min="8" max="8"/>
    <col width="14" customWidth="1" style="72" min="9" max="9"/>
    <col width="20" customWidth="1" style="72" min="10" max="10"/>
    <col width="16" customWidth="1" style="72" min="11" max="11"/>
    <col width="14" customWidth="1" style="72" min="12" max="12"/>
    <col width="40" customWidth="1" style="72" min="13" max="13"/>
  </cols>
  <sheetData>
    <row r="1" ht="17.65" customHeight="1" s="72">
      <c r="A1" s="73" t="inlineStr">
        <is>
          <t>01 · RPM — Retail People Magazine</t>
        </is>
      </c>
    </row>
    <row r="2">
      <c r="A2" s="74" t="inlineStr">
        <is>
          <t>Advertising and profile features owed under the signed 2026 agreements.</t>
        </is>
      </c>
    </row>
    <row r="4" ht="32" customHeight="1" s="72">
      <c r="A4" s="6" t="inlineStr">
        <is>
          <t>SN</t>
        </is>
      </c>
      <c r="B4" s="6" t="inlineStr">
        <is>
          <t>COMPANY</t>
        </is>
      </c>
      <c r="C4" s="6" t="inlineStr">
        <is>
          <t>TIER</t>
        </is>
      </c>
      <c r="D4" s="6" t="inlineStr">
        <is>
          <t>RPM AD</t>
        </is>
      </c>
      <c r="E4" s="6" t="inlineStr">
        <is>
          <t>RPM PROFILE</t>
        </is>
      </c>
      <c r="F4" s="7" t="inlineStr">
        <is>
          <t>AD: ISSUE</t>
        </is>
      </c>
      <c r="G4" s="7" t="inlineStr">
        <is>
          <t>AD: ARTWORK RECEIVED</t>
        </is>
      </c>
      <c r="H4" s="7" t="inlineStr">
        <is>
          <t>AD: STATUS</t>
        </is>
      </c>
      <c r="I4" s="7" t="inlineStr">
        <is>
          <t>PROFILE: ISSUE</t>
        </is>
      </c>
      <c r="J4" s="7" t="inlineStr">
        <is>
          <t>PROFILE: COPY RECEIVED</t>
        </is>
      </c>
      <c r="K4" s="7" t="inlineStr">
        <is>
          <t>PROFILE: STATUS</t>
        </is>
      </c>
      <c r="L4" s="7" t="inlineStr">
        <is>
          <t>OWNER</t>
        </is>
      </c>
      <c r="M4" s="7" t="inlineStr">
        <is>
          <t>NOTES</t>
        </is>
      </c>
    </row>
    <row r="5" s="72">
      <c r="A5" s="8" t="n">
        <v>1</v>
      </c>
      <c r="B5" s="9" t="inlineStr">
        <is>
          <t>CENOMI CENTERS</t>
        </is>
      </c>
      <c r="C5" s="10" t="inlineStr">
        <is>
          <t>1. DIAMOND SPONSOR</t>
        </is>
      </c>
      <c r="D5" s="9" t="inlineStr">
        <is>
          <t>Double Page</t>
        </is>
      </c>
      <c r="E5" s="8" t="inlineStr">
        <is>
          <t>Yes</t>
        </is>
      </c>
      <c r="F5" s="11" t="n"/>
      <c r="G5" s="11" t="n"/>
      <c r="H5" s="11" t="n"/>
      <c r="I5" s="75" t="n"/>
      <c r="J5" s="11" t="n"/>
      <c r="K5" s="11" t="n"/>
      <c r="L5" s="11" t="n"/>
      <c r="M5" s="75" t="n"/>
    </row>
    <row r="6" s="72">
      <c r="A6" s="8" t="n">
        <v>2</v>
      </c>
      <c r="B6" s="9" t="inlineStr">
        <is>
          <t>UNIFIED REAL ESTATE DEVELOPMENT</t>
        </is>
      </c>
      <c r="C6" s="10" t="inlineStr">
        <is>
          <t>1. DIAMOND SPONSOR</t>
        </is>
      </c>
      <c r="D6" s="9" t="inlineStr">
        <is>
          <t>Double Page</t>
        </is>
      </c>
      <c r="E6" s="8" t="inlineStr">
        <is>
          <t>Yes</t>
        </is>
      </c>
      <c r="F6" s="11" t="n"/>
      <c r="G6" s="11" t="n"/>
      <c r="H6" s="11" t="n"/>
      <c r="I6" s="75" t="n"/>
      <c r="J6" s="11" t="n"/>
      <c r="K6" s="11" t="n"/>
      <c r="L6" s="11" t="n"/>
      <c r="M6" s="75" t="n"/>
    </row>
    <row r="7" s="72">
      <c r="A7" s="8" t="n">
        <v>3</v>
      </c>
      <c r="B7" s="9" t="inlineStr">
        <is>
          <t>AL OTHAIM INVESTMENT</t>
        </is>
      </c>
      <c r="C7" s="10" t="inlineStr">
        <is>
          <t>1. DIAMOND SPONSOR</t>
        </is>
      </c>
      <c r="D7" s="9" t="inlineStr">
        <is>
          <t>Double Page</t>
        </is>
      </c>
      <c r="E7" s="8" t="inlineStr">
        <is>
          <t>Yes</t>
        </is>
      </c>
      <c r="F7" s="11" t="n"/>
      <c r="G7" s="11" t="n"/>
      <c r="H7" s="11" t="n"/>
      <c r="I7" s="75" t="n"/>
      <c r="J7" s="11" t="n"/>
      <c r="K7" s="11" t="n"/>
      <c r="L7" s="11" t="n"/>
      <c r="M7" s="75" t="n"/>
    </row>
    <row r="8" ht="25.5" customHeight="1" s="72">
      <c r="A8" s="8" t="n">
        <v>4</v>
      </c>
      <c r="B8" s="9" t="inlineStr">
        <is>
          <t>AZAD PROPERTIES | RED MALLS</t>
        </is>
      </c>
      <c r="C8" s="10" t="inlineStr">
        <is>
          <t>1. DIAMOND SPONSOR</t>
        </is>
      </c>
      <c r="D8" s="9" t="inlineStr">
        <is>
          <t>Double Page  +  1 Full Page Ad (Q2 &amp; Q3, add-on)</t>
        </is>
      </c>
      <c r="E8" s="8" t="inlineStr">
        <is>
          <t>Yes</t>
        </is>
      </c>
      <c r="F8" s="11" t="n"/>
      <c r="G8" s="11" t="n"/>
      <c r="H8" s="11" t="n"/>
      <c r="I8" s="75" t="n"/>
      <c r="J8" s="11" t="n"/>
      <c r="K8" s="11" t="n"/>
      <c r="L8" s="11" t="n"/>
      <c r="M8" s="75" t="n"/>
    </row>
    <row r="9" s="72">
      <c r="A9" s="8" t="n">
        <v>5</v>
      </c>
      <c r="B9" s="9" t="inlineStr">
        <is>
          <t>KNOWLEDGE ECONOMIC CITY CO.</t>
        </is>
      </c>
      <c r="C9" s="12" t="inlineStr">
        <is>
          <t>2. PLATINUM SPONSOR</t>
        </is>
      </c>
      <c r="D9" s="9" t="inlineStr">
        <is>
          <t>Double Page</t>
        </is>
      </c>
      <c r="E9" s="8" t="inlineStr">
        <is>
          <t>Yes</t>
        </is>
      </c>
      <c r="F9" s="11" t="n"/>
      <c r="G9" s="11" t="n"/>
      <c r="H9" s="11" t="n"/>
      <c r="I9" s="75" t="n"/>
      <c r="J9" s="11" t="n"/>
      <c r="K9" s="11" t="n"/>
      <c r="L9" s="11" t="n"/>
      <c r="M9" s="75" t="n"/>
    </row>
    <row r="10" s="72">
      <c r="A10" s="8" t="n">
        <v>6</v>
      </c>
      <c r="B10" s="9" t="inlineStr">
        <is>
          <t>RED SEA MALLS</t>
        </is>
      </c>
      <c r="C10" s="12" t="inlineStr">
        <is>
          <t>2. PLATINUM SPONSOR</t>
        </is>
      </c>
      <c r="D10" s="9" t="inlineStr">
        <is>
          <t>Double Page</t>
        </is>
      </c>
      <c r="E10" s="8" t="inlineStr">
        <is>
          <t>Yes</t>
        </is>
      </c>
      <c r="F10" s="11" t="n"/>
      <c r="G10" s="11" t="n"/>
      <c r="H10" s="11" t="n"/>
      <c r="I10" s="75" t="n"/>
      <c r="J10" s="11" t="n"/>
      <c r="K10" s="11" t="n"/>
      <c r="L10" s="11" t="n"/>
      <c r="M10" s="75" t="n"/>
    </row>
    <row r="11" s="72">
      <c r="A11" s="8" t="n">
        <v>7</v>
      </c>
      <c r="B11" s="9" t="inlineStr">
        <is>
          <t>DANAH REAL ESTATE</t>
        </is>
      </c>
      <c r="C11" s="13" t="inlineStr">
        <is>
          <t>3. GOLD SPONSOR</t>
        </is>
      </c>
      <c r="D11" s="9" t="inlineStr">
        <is>
          <t>Single Page</t>
        </is>
      </c>
      <c r="E11" s="8" t="inlineStr">
        <is>
          <t>Yes</t>
        </is>
      </c>
      <c r="F11" s="11" t="n"/>
      <c r="G11" s="11" t="n"/>
      <c r="H11" s="11" t="n"/>
      <c r="I11" s="75" t="n"/>
      <c r="J11" s="11" t="n"/>
      <c r="K11" s="11" t="n"/>
      <c r="L11" s="11" t="n"/>
      <c r="M11" s="75" t="n"/>
    </row>
    <row r="12" s="72">
      <c r="A12" s="8" t="n">
        <v>8</v>
      </c>
      <c r="B12" s="9" t="inlineStr">
        <is>
          <t>DALMA MALL</t>
        </is>
      </c>
      <c r="C12" s="13" t="inlineStr">
        <is>
          <t>3. GOLD SPONSOR</t>
        </is>
      </c>
      <c r="D12" s="9" t="inlineStr">
        <is>
          <t>Single Page</t>
        </is>
      </c>
      <c r="E12" s="8" t="inlineStr">
        <is>
          <t>Yes</t>
        </is>
      </c>
      <c r="F12" s="11" t="n"/>
      <c r="G12" s="11" t="n"/>
      <c r="H12" s="11" t="n"/>
      <c r="I12" s="75" t="n"/>
      <c r="J12" s="11" t="n"/>
      <c r="K12" s="11" t="n"/>
      <c r="L12" s="11" t="n"/>
      <c r="M12" s="75" t="n"/>
    </row>
    <row r="13" s="72">
      <c r="A13" s="8" t="n">
        <v>9</v>
      </c>
      <c r="B13" s="9" t="inlineStr">
        <is>
          <t>YARDI SYSTEMS</t>
        </is>
      </c>
      <c r="C13" s="8" t="inlineStr">
        <is>
          <t>4. SILVER SPONSOR</t>
        </is>
      </c>
      <c r="D13" s="9" t="inlineStr">
        <is>
          <t>Single Page</t>
        </is>
      </c>
      <c r="E13" s="8" t="inlineStr">
        <is>
          <t>Yes</t>
        </is>
      </c>
      <c r="F13" s="11" t="n"/>
      <c r="G13" s="11" t="n"/>
      <c r="H13" s="11" t="n"/>
      <c r="I13" s="75" t="n"/>
      <c r="J13" s="11" t="n"/>
      <c r="K13" s="11" t="n"/>
      <c r="L13" s="11" t="n"/>
      <c r="M13" s="75" t="n"/>
    </row>
    <row r="14" s="72">
      <c r="A14" s="8" t="n">
        <v>10</v>
      </c>
      <c r="B14" s="9" t="inlineStr">
        <is>
          <t>CHAMPION GROUP</t>
        </is>
      </c>
      <c r="C14" s="8" t="inlineStr">
        <is>
          <t>4. SILVER SPONSOR</t>
        </is>
      </c>
      <c r="D14" s="15" t="inlineStr">
        <is>
          <t>—</t>
        </is>
      </c>
      <c r="E14" s="8" t="inlineStr">
        <is>
          <t>Yes</t>
        </is>
      </c>
      <c r="F14" s="11" t="n"/>
      <c r="G14" s="11" t="n"/>
      <c r="H14" s="11" t="n"/>
      <c r="I14" s="75" t="n"/>
      <c r="J14" s="11" t="n"/>
      <c r="K14" s="11" t="n"/>
      <c r="L14" s="11" t="n"/>
      <c r="M14" s="75" t="inlineStr">
        <is>
          <t>PROVISIONAL — the RCM matrix (8 Oct 2026) says 'Not Yet Confirmed, entitlements subject to change'. Barter exchange; profile only, no RPM ad.</t>
        </is>
      </c>
    </row>
    <row r="15" s="72">
      <c r="A15" s="8" t="n">
        <v>11</v>
      </c>
      <c r="B15" s="9" t="inlineStr">
        <is>
          <t>MRI SOFTWARE</t>
        </is>
      </c>
      <c r="C15" s="14" t="inlineStr">
        <is>
          <t>5. BRONZE SPONSOR</t>
        </is>
      </c>
      <c r="D15" s="15" t="inlineStr">
        <is>
          <t>—</t>
        </is>
      </c>
      <c r="E15" s="8" t="inlineStr">
        <is>
          <t>Yes</t>
        </is>
      </c>
      <c r="F15" s="11" t="n"/>
      <c r="G15" s="11" t="n"/>
      <c r="H15" s="11" t="n"/>
      <c r="I15" s="75" t="n"/>
      <c r="J15" s="11" t="n"/>
      <c r="K15" s="11" t="n"/>
      <c r="L15" s="11" t="n"/>
      <c r="M15" s="75" t="n"/>
    </row>
    <row r="16" s="72">
      <c r="A16" s="8" t="n">
        <v>12</v>
      </c>
      <c r="B16" s="9" t="inlineStr">
        <is>
          <t>GIFTSTARR</t>
        </is>
      </c>
      <c r="C16" s="14" t="inlineStr">
        <is>
          <t>5. BRONZE SPONSOR</t>
        </is>
      </c>
      <c r="D16" s="15" t="inlineStr">
        <is>
          <t>—</t>
        </is>
      </c>
      <c r="E16" s="8" t="inlineStr">
        <is>
          <t>Yes</t>
        </is>
      </c>
      <c r="F16" s="11" t="n"/>
      <c r="G16" s="11" t="n"/>
      <c r="H16" s="11" t="n"/>
      <c r="I16" s="75" t="n"/>
      <c r="J16" s="11" t="n"/>
      <c r="K16" s="11" t="n"/>
      <c r="L16" s="11" t="n"/>
      <c r="M16" s="75" t="n"/>
    </row>
    <row r="17" s="72">
      <c r="A17" s="8" t="n">
        <v>13</v>
      </c>
      <c r="B17" s="9" t="inlineStr">
        <is>
          <t>BURJUMAN</t>
        </is>
      </c>
      <c r="C17" s="14" t="inlineStr">
        <is>
          <t>5. BRONZE SPONSOR</t>
        </is>
      </c>
      <c r="D17" s="9" t="inlineStr">
        <is>
          <t>Single Page</t>
        </is>
      </c>
      <c r="E17" s="8" t="inlineStr">
        <is>
          <t>Yes</t>
        </is>
      </c>
      <c r="F17" s="11" t="n"/>
      <c r="G17" s="11" t="n"/>
      <c r="H17" s="11" t="n"/>
      <c r="I17" s="75" t="n"/>
      <c r="J17" s="11" t="n"/>
      <c r="K17" s="11" t="n"/>
      <c r="L17" s="11" t="n"/>
      <c r="M17" s="75" t="n"/>
    </row>
    <row r="18" s="72">
      <c r="A18" s="8" t="n">
        <v>14</v>
      </c>
      <c r="B18" s="9" t="inlineStr">
        <is>
          <t>KINGDOM CENTRE</t>
        </is>
      </c>
      <c r="C18" s="14" t="inlineStr">
        <is>
          <t>5. BRONZE SPONSOR</t>
        </is>
      </c>
      <c r="D18" s="9" t="inlineStr">
        <is>
          <t>Single Page (full page)</t>
        </is>
      </c>
      <c r="E18" s="8" t="inlineStr">
        <is>
          <t>Yes</t>
        </is>
      </c>
      <c r="F18" s="11" t="n"/>
      <c r="G18" s="11" t="n"/>
      <c r="H18" s="11" t="n"/>
      <c r="I18" s="75" t="n"/>
      <c r="J18" s="11" t="n"/>
      <c r="K18" s="11" t="n"/>
      <c r="L18" s="11" t="n"/>
      <c r="M18" s="75" t="inlineStr">
        <is>
          <t>Signed 30 Sep 2026 (DID-2064). The contract's RPM ad size is 205×265 mm trim, 215×275 mm bleed — not the 210×297 mm in the footnote; confirm the RPM page size with production.</t>
        </is>
      </c>
    </row>
    <row r="19" ht="25.5" customHeight="1" s="72">
      <c r="A19" s="8" t="n">
        <v>15</v>
      </c>
      <c r="B19" s="9" t="inlineStr">
        <is>
          <t>AMUSEMENT SERVICES INTERNATIONAL LLC</t>
        </is>
      </c>
      <c r="C19" s="16" t="inlineStr">
        <is>
          <t>19. EXHIBITOR</t>
        </is>
      </c>
      <c r="D19" s="15" t="inlineStr">
        <is>
          <t>—</t>
        </is>
      </c>
      <c r="E19" s="8" t="inlineStr">
        <is>
          <t>Yes</t>
        </is>
      </c>
      <c r="F19" s="11" t="n"/>
      <c r="G19" s="11" t="n"/>
      <c r="H19" s="11" t="n"/>
      <c r="I19" s="75" t="n"/>
      <c r="J19" s="11" t="n"/>
      <c r="K19" s="11" t="n"/>
      <c r="L19" s="11" t="n"/>
      <c r="M19" s="75" t="n"/>
    </row>
    <row r="20">
      <c r="A20" s="8" t="n">
        <v>16</v>
      </c>
      <c r="B20" s="9" t="inlineStr">
        <is>
          <t>DHAMANI</t>
        </is>
      </c>
      <c r="C20" s="16" t="inlineStr">
        <is>
          <t>15. SUPPORT PARTNER</t>
        </is>
      </c>
      <c r="D20" s="15" t="inlineStr">
        <is>
          <t>—</t>
        </is>
      </c>
      <c r="E20" s="8" t="inlineStr">
        <is>
          <t>Yes — half page (100 words)</t>
        </is>
      </c>
      <c r="F20" s="11" t="n"/>
      <c r="G20" s="11" t="n"/>
      <c r="H20" s="11" t="n"/>
      <c r="I20" s="75" t="inlineStr">
        <is>
          <t>RPM Special RECON Edition (Oct 2026)</t>
        </is>
      </c>
      <c r="J20" s="11" t="n"/>
      <c r="K20" s="11" t="n"/>
      <c r="L20" s="11" t="n"/>
      <c r="M20" s="75" t="inlineStr">
        <is>
          <t>Barter (BTR-1). Profile assets were due 11 Sep 2026 — check it ran in the RECON edition (event 5–6 Oct).</t>
        </is>
      </c>
    </row>
    <row r="21">
      <c r="A21" s="8" t="n">
        <v>17</v>
      </c>
      <c r="B21" s="9" t="inlineStr">
        <is>
          <t>ELEVA AI</t>
        </is>
      </c>
      <c r="C21" s="16" t="inlineStr">
        <is>
          <t>15. SUPPORT PARTNER</t>
        </is>
      </c>
      <c r="D21" s="15" t="inlineStr">
        <is>
          <t>—</t>
        </is>
      </c>
      <c r="E21" s="8" t="inlineStr">
        <is>
          <t>Yes — half page (100 words)</t>
        </is>
      </c>
      <c r="F21" s="11" t="n"/>
      <c r="G21" s="11" t="n"/>
      <c r="H21" s="11" t="n"/>
      <c r="I21" s="75" t="inlineStr">
        <is>
          <t>RPM Special RECON Edition (Oct 2026)</t>
        </is>
      </c>
      <c r="J21" s="11" t="n"/>
      <c r="K21" s="11" t="n"/>
      <c r="L21" s="11" t="n"/>
      <c r="M21" s="75" t="inlineStr">
        <is>
          <t>Barter (BTR-2), signed 23 Sep 2026. Assets were due 25 Sep 2026 — check it ran in the RECON edition.</t>
        </is>
      </c>
    </row>
    <row r="23" ht="26" customHeight="1" s="72">
      <c r="B23" s="71" t="inlineStr">
        <is>
          <t>Artwork — full page 210×297mm, double page 420×297mm, CMYK, 3mm bleed. Profile feature — 500–700 words plus images and logo. Dates as YYYY-MM-DD.</t>
        </is>
      </c>
    </row>
  </sheetData>
  <autoFilter ref="A4:M21"/>
  <mergeCells count="3">
    <mergeCell ref="B23:I23"/>
    <mergeCell ref="A1:F1"/>
    <mergeCell ref="A2:J2"/>
  </mergeCells>
  <dataValidations count="1">
    <dataValidation sqref="H5:H47 K5:K47" showDropDown="0" showInputMessage="0" showErrorMessage="0" allowBlank="1" type="list">
      <formula1>"Not Started,Requested,In Progress,Received,Approved,Placed"</formula1>
    </dataValidation>
  </dataValidations>
  <pageMargins left="0.75" right="0.75" top="1" bottom="1" header="0.5" footer="0.5"/>
  <pageSetup orientation="landscape" fitToHeight="0"/>
</worksheet>
</file>

<file path=xl/worksheets/sheet3.xml><?xml version="1.0" encoding="utf-8"?>
<worksheet xmlns="http://schemas.openxmlformats.org/spreadsheetml/2006/main">
  <sheetPr>
    <outlinePr summaryBelow="1" summaryRight="1"/>
    <pageSetUpPr fitToPage="1"/>
  </sheetPr>
  <dimension ref="A1:I15"/>
  <sheetViews>
    <sheetView showGridLines="0"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4.25"/>
  <cols>
    <col width="6" customWidth="1" style="72" min="1" max="1"/>
    <col width="36" customWidth="1" style="72" min="2" max="2"/>
    <col width="20" customWidth="1" style="72" min="3" max="3"/>
    <col width="16" customWidth="1" style="72" min="4" max="4"/>
    <col width="22" customWidth="1" style="72" min="5" max="6"/>
    <col width="16" customWidth="1" style="72" min="7" max="7"/>
    <col width="14" customWidth="1" style="72" min="8" max="8"/>
    <col width="60" customWidth="1" style="72" min="9" max="9"/>
  </cols>
  <sheetData>
    <row r="1" ht="17.65" customHeight="1" s="72">
      <c r="A1" s="73" t="inlineStr">
        <is>
          <t>02 · ADS — MECSR Directory 2027</t>
        </is>
      </c>
    </row>
    <row r="2">
      <c r="A2" s="74" t="inlineStr">
        <is>
          <t>Advertising placements owed under the signed 2026 agreements.</t>
        </is>
      </c>
    </row>
    <row r="4" ht="32" customHeight="1" s="72">
      <c r="A4" s="6" t="inlineStr">
        <is>
          <t>SN</t>
        </is>
      </c>
      <c r="B4" s="6" t="inlineStr">
        <is>
          <t>COMPANY</t>
        </is>
      </c>
      <c r="C4" s="6" t="inlineStr">
        <is>
          <t>TIER</t>
        </is>
      </c>
      <c r="D4" s="6" t="inlineStr">
        <is>
          <t>AD SIZE</t>
        </is>
      </c>
      <c r="E4" s="7" t="inlineStr">
        <is>
          <t>PAGE ALLOCATED</t>
        </is>
      </c>
      <c r="F4" s="7" t="inlineStr">
        <is>
          <t>ARTWORK RECEIVED</t>
        </is>
      </c>
      <c r="G4" s="7" t="inlineStr">
        <is>
          <t>STATUS</t>
        </is>
      </c>
      <c r="H4" s="7" t="inlineStr">
        <is>
          <t>OWNER</t>
        </is>
      </c>
      <c r="I4" s="7" t="inlineStr">
        <is>
          <t>NOTES</t>
        </is>
      </c>
    </row>
    <row r="5" s="72">
      <c r="A5" s="8" t="n">
        <v>1</v>
      </c>
      <c r="B5" s="9" t="inlineStr">
        <is>
          <t>CENOMI CENTERS</t>
        </is>
      </c>
      <c r="C5" s="10" t="inlineStr">
        <is>
          <t>1. DIAMOND SPONSOR</t>
        </is>
      </c>
      <c r="D5" s="8" t="inlineStr">
        <is>
          <t>Double Page</t>
        </is>
      </c>
      <c r="E5" s="75" t="inlineStr">
        <is>
          <t>20–21 (showcase spread)</t>
        </is>
      </c>
      <c r="F5" s="11" t="n"/>
      <c r="G5" s="11" t="n"/>
      <c r="H5" s="11" t="n"/>
      <c r="I5" s="75" t="n"/>
    </row>
    <row r="6" s="72">
      <c r="A6" s="8" t="n">
        <v>2</v>
      </c>
      <c r="B6" s="9" t="inlineStr">
        <is>
          <t>UNIFIED REAL ESTATE DEVELOPMENT</t>
        </is>
      </c>
      <c r="C6" s="10" t="inlineStr">
        <is>
          <t>1. DIAMOND SPONSOR</t>
        </is>
      </c>
      <c r="D6" s="8" t="inlineStr">
        <is>
          <t>Double Page</t>
        </is>
      </c>
      <c r="E6" s="75" t="inlineStr">
        <is>
          <t>22–23 (showcase spread)</t>
        </is>
      </c>
      <c r="F6" s="11" t="n"/>
      <c r="G6" s="11" t="n"/>
      <c r="H6" s="11" t="n"/>
      <c r="I6" s="75" t="n"/>
    </row>
    <row r="7" s="72">
      <c r="A7" s="8" t="n">
        <v>3</v>
      </c>
      <c r="B7" s="9" t="inlineStr">
        <is>
          <t>AL OTHAIM INVESTMENT</t>
        </is>
      </c>
      <c r="C7" s="10" t="inlineStr">
        <is>
          <t>1. DIAMOND SPONSOR</t>
        </is>
      </c>
      <c r="D7" s="8" t="inlineStr">
        <is>
          <t>Double Page</t>
        </is>
      </c>
      <c r="E7" s="75" t="inlineStr">
        <is>
          <t>24–25 (showcase spread)</t>
        </is>
      </c>
      <c r="F7" s="11" t="n"/>
      <c r="G7" s="11" t="n"/>
      <c r="H7" s="11" t="n"/>
      <c r="I7" s="75" t="n"/>
    </row>
    <row r="8" s="72">
      <c r="A8" s="8" t="n">
        <v>4</v>
      </c>
      <c r="B8" s="9" t="inlineStr">
        <is>
          <t>AZAD PROPERTIES | RED MALLS</t>
        </is>
      </c>
      <c r="C8" s="10" t="inlineStr">
        <is>
          <t>1. DIAMOND SPONSOR</t>
        </is>
      </c>
      <c r="D8" s="8" t="inlineStr">
        <is>
          <t>Double Page</t>
        </is>
      </c>
      <c r="E8" s="75" t="inlineStr">
        <is>
          <t>26–27 (showcase spread)</t>
        </is>
      </c>
      <c r="F8" s="11" t="n"/>
      <c r="G8" s="11" t="n"/>
      <c r="H8" s="11" t="n"/>
      <c r="I8" s="75" t="n"/>
    </row>
    <row r="9" s="72">
      <c r="A9" s="8" t="n">
        <v>5</v>
      </c>
      <c r="B9" s="9" t="inlineStr">
        <is>
          <t>KNOWLEDGE ECONOMIC CITY CO.</t>
        </is>
      </c>
      <c r="C9" s="12" t="inlineStr">
        <is>
          <t>2. PLATINUM SPONSOR</t>
        </is>
      </c>
      <c r="D9" s="8" t="inlineStr">
        <is>
          <t>Double Page</t>
        </is>
      </c>
      <c r="E9" s="75" t="inlineStr">
        <is>
          <t>28–29 (showcase spread)</t>
        </is>
      </c>
      <c r="F9" s="11" t="n"/>
      <c r="G9" s="11" t="n"/>
      <c r="H9" s="11" t="n"/>
      <c r="I9" s="75" t="n"/>
    </row>
    <row r="10" s="72">
      <c r="A10" s="8" t="n">
        <v>6</v>
      </c>
      <c r="B10" s="9" t="inlineStr">
        <is>
          <t>RED SEA MALLS</t>
        </is>
      </c>
      <c r="C10" s="12" t="inlineStr">
        <is>
          <t>2. PLATINUM SPONSOR</t>
        </is>
      </c>
      <c r="D10" s="8" t="inlineStr">
        <is>
          <t>Double Page</t>
        </is>
      </c>
      <c r="E10" s="75" t="inlineStr">
        <is>
          <t>30–31 (showcase spread)</t>
        </is>
      </c>
      <c r="F10" s="11" t="n"/>
      <c r="G10" s="11" t="n"/>
      <c r="H10" s="11" t="n"/>
      <c r="I10" s="75" t="n"/>
    </row>
    <row r="11" s="72">
      <c r="A11" s="8" t="n">
        <v>7</v>
      </c>
      <c r="B11" s="9" t="inlineStr">
        <is>
          <t>DANAH REAL ESTATE</t>
        </is>
      </c>
      <c r="C11" s="13" t="inlineStr">
        <is>
          <t>3. GOLD SPONSOR</t>
        </is>
      </c>
      <c r="D11" s="8" t="inlineStr">
        <is>
          <t>Single Page</t>
        </is>
      </c>
      <c r="E11" s="75" t="inlineStr">
        <is>
          <t>Not placed yet</t>
        </is>
      </c>
      <c r="F11" s="11" t="n"/>
      <c r="G11" s="11" t="n"/>
      <c r="H11" s="11" t="n"/>
      <c r="I11" s="75" t="inlineStr">
        <is>
          <t>Recommended: p67, the right-hand page of the 66|67 ad spread, in place of the RPM house ad — no other page moves. Premium option: p36, facing the Expert Views contents, if that section's opener and contents share p37 (Danah's Expert View runs on 46–47).</t>
        </is>
      </c>
    </row>
    <row r="12" s="72">
      <c r="A12" s="8" t="n">
        <v>8</v>
      </c>
      <c r="B12" s="9" t="inlineStr">
        <is>
          <t>DALMA MALL</t>
        </is>
      </c>
      <c r="C12" s="13" t="inlineStr">
        <is>
          <t>3. GOLD SPONSOR</t>
        </is>
      </c>
      <c r="D12" s="8" t="inlineStr">
        <is>
          <t>Single Page</t>
        </is>
      </c>
      <c r="E12" s="75" t="inlineStr">
        <is>
          <t>Not placed yet</t>
        </is>
      </c>
      <c r="F12" s="11" t="n"/>
      <c r="G12" s="11" t="n"/>
      <c r="H12" s="11" t="n"/>
      <c r="I12" s="75" t="inlineStr">
        <is>
          <t>Recommended: p69, the right-hand page of the 68|69 ad spread, in place of the GVS house ad. Premium option: p56, facing the Country Profiles contents, if that opener and contents share p57 (the UAE profile is on 64–65).</t>
        </is>
      </c>
    </row>
    <row r="13" s="72">
      <c r="A13" s="8" t="n">
        <v>9</v>
      </c>
      <c r="B13" s="9" t="inlineStr">
        <is>
          <t>CHAMPION GROUP</t>
        </is>
      </c>
      <c r="C13" s="8" t="inlineStr">
        <is>
          <t>4. SILVER SPONSOR</t>
        </is>
      </c>
      <c r="D13" s="8" t="inlineStr">
        <is>
          <t>Single Page</t>
        </is>
      </c>
      <c r="E13" s="75" t="inlineStr">
        <is>
          <t>Hold until confirmed</t>
        </is>
      </c>
      <c r="F13" s="11" t="n"/>
      <c r="G13" s="11" t="n"/>
      <c r="H13" s="11" t="n"/>
      <c r="I13" s="75" t="inlineStr">
        <is>
          <t>PROVISIONAL — the RCM matrix (8 Oct 2026) says 'Not Yet Confirmed, entitlements subject to change'. If it is confirmed, p380 (the Media Kit house page, facing The Digital Directory on p381) can change hands without moving any other page.</t>
        </is>
      </c>
    </row>
    <row r="14" s="72"/>
    <row r="15" ht="26" customHeight="1" s="72">
      <c r="B15" s="71" t="inlineStr">
        <is>
          <t>Artwork — single page 210×297mm, double page 420×297mm, CMYK, 3mm bleed. Page position is allocated by production. Dates as YYYY-MM-DD.</t>
        </is>
      </c>
    </row>
  </sheetData>
  <autoFilter ref="A4:I13"/>
  <mergeCells count="3">
    <mergeCell ref="A1:F1"/>
    <mergeCell ref="A2:I2"/>
    <mergeCell ref="B15:I15"/>
  </mergeCells>
  <dataValidations count="1">
    <dataValidation sqref="G5:G42" showDropDown="0" showInputMessage="0" showErrorMessage="0" allowBlank="1" type="list">
      <formula1>"Not Started,Requested,In Progress,Received,Approved,Placed"</formula1>
    </dataValidation>
  </dataValidations>
  <pageMargins left="0.75" right="0.75" top="1" bottom="1" header="0.5" footer="0.5"/>
  <pageSetup orientation="landscape" fitToHeight="0"/>
</worksheet>
</file>

<file path=xl/worksheets/sheet4.xml><?xml version="1.0" encoding="utf-8"?>
<worksheet xmlns="http://schemas.openxmlformats.org/spreadsheetml/2006/main">
  <sheetPr>
    <outlinePr summaryBelow="1" summaryRight="1"/>
    <pageSetUpPr fitToPage="1"/>
  </sheetPr>
  <dimension ref="A1:K22"/>
  <sheetViews>
    <sheetView showGridLines="0" workbookViewId="0">
      <pane xSplit="3" ySplit="4" topLeftCell="D5" activePane="bottomRight" state="frozen"/>
      <selection pane="topRight" activeCell="A1" sqref="A1"/>
      <selection pane="bottomLeft" activeCell="A1" sqref="A1"/>
      <selection pane="bottomRight" activeCell="A1" sqref="A1:F1"/>
    </sheetView>
  </sheetViews>
  <sheetFormatPr baseColWidth="8" defaultRowHeight="14.25"/>
  <cols>
    <col width="6" customWidth="1" style="72" min="1" max="1"/>
    <col width="36" customWidth="1" style="72" min="2" max="2"/>
    <col width="20" customWidth="1" style="72" min="3" max="3"/>
    <col width="14" customWidth="1" style="72" min="4" max="4"/>
    <col width="16" customWidth="1" style="72" min="5" max="6"/>
    <col width="18" customWidth="1" style="72" min="7" max="8"/>
    <col width="16" customWidth="1" style="72" min="9" max="9"/>
    <col width="14" customWidth="1" style="72" min="10" max="10"/>
    <col width="40" customWidth="1" style="72" min="11" max="11"/>
  </cols>
  <sheetData>
    <row r="1" ht="17.65" customHeight="1" s="72">
      <c r="A1" s="73" t="inlineStr">
        <is>
          <t>03 · CORPORATE MEMBERS — seats granted under sponsorship agreements</t>
        </is>
      </c>
    </row>
    <row r="2">
      <c r="A2" s="74" t="inlineStr">
        <is>
          <t>Sponsorship-granted seats only. Corporate memberships bought directly are on sheet 07 Membership 2026.</t>
        </is>
      </c>
    </row>
    <row r="4" ht="32" customHeight="1" s="72">
      <c r="A4" s="6" t="inlineStr">
        <is>
          <t>SN</t>
        </is>
      </c>
      <c r="B4" s="6" t="inlineStr">
        <is>
          <t>COMPANY</t>
        </is>
      </c>
      <c r="C4" s="6" t="inlineStr">
        <is>
          <t>TIER</t>
        </is>
      </c>
      <c r="D4" s="6" t="inlineStr">
        <is>
          <t>SEATS GRANTED</t>
        </is>
      </c>
      <c r="E4" s="7" t="inlineStr">
        <is>
          <t>SEATS NOMINATED</t>
        </is>
      </c>
      <c r="F4" s="7" t="inlineStr">
        <is>
          <t>SEATS ACTIVATED</t>
        </is>
      </c>
      <c r="G4" s="7" t="inlineStr">
        <is>
          <t>MEMBERSHIP START</t>
        </is>
      </c>
      <c r="H4" s="7" t="inlineStr">
        <is>
          <t>MEMBERSHIP END</t>
        </is>
      </c>
      <c r="I4" s="7" t="inlineStr">
        <is>
          <t>STATUS</t>
        </is>
      </c>
      <c r="J4" s="7" t="inlineStr">
        <is>
          <t>OWNER</t>
        </is>
      </c>
      <c r="K4" s="7" t="inlineStr">
        <is>
          <t>NOTES</t>
        </is>
      </c>
    </row>
    <row r="5" s="72">
      <c r="A5" s="8" t="n">
        <v>1</v>
      </c>
      <c r="B5" s="9" t="inlineStr">
        <is>
          <t>CENOMI CENTERS</t>
        </is>
      </c>
      <c r="C5" s="10" t="inlineStr">
        <is>
          <t>1. DIAMOND SPONSOR</t>
        </is>
      </c>
      <c r="D5" s="8" t="n">
        <v>35</v>
      </c>
      <c r="E5" s="11" t="n"/>
      <c r="F5" s="11" t="n"/>
      <c r="G5" s="11" t="n"/>
      <c r="H5" s="11" t="n"/>
      <c r="I5" s="11" t="n"/>
      <c r="J5" s="11" t="n"/>
      <c r="K5" s="75" t="n"/>
    </row>
    <row r="6" s="72">
      <c r="A6" s="8" t="n">
        <v>2</v>
      </c>
      <c r="B6" s="9" t="inlineStr">
        <is>
          <t>UNIFIED REAL ESTATE DEVELOPMENT</t>
        </is>
      </c>
      <c r="C6" s="10" t="inlineStr">
        <is>
          <t>1. DIAMOND SPONSOR</t>
        </is>
      </c>
      <c r="D6" s="8" t="n">
        <v>20</v>
      </c>
      <c r="E6" s="11" t="n"/>
      <c r="F6" s="11" t="n"/>
      <c r="G6" s="11" t="n"/>
      <c r="H6" s="11" t="n"/>
      <c r="I6" s="11" t="n"/>
      <c r="J6" s="11" t="n"/>
      <c r="K6" s="75" t="n"/>
    </row>
    <row r="7" s="72">
      <c r="A7" s="8" t="n">
        <v>3</v>
      </c>
      <c r="B7" s="9" t="inlineStr">
        <is>
          <t>AL OTHAIM INVESTMENT</t>
        </is>
      </c>
      <c r="C7" s="10" t="inlineStr">
        <is>
          <t>1. DIAMOND SPONSOR</t>
        </is>
      </c>
      <c r="D7" s="8" t="n">
        <v>20</v>
      </c>
      <c r="E7" s="11" t="n"/>
      <c r="F7" s="11" t="n"/>
      <c r="G7" s="11" t="n"/>
      <c r="H7" s="11" t="n"/>
      <c r="I7" s="11" t="n"/>
      <c r="J7" s="11" t="n"/>
      <c r="K7" s="75" t="n"/>
    </row>
    <row r="8" s="72">
      <c r="A8" s="8" t="n">
        <v>4</v>
      </c>
      <c r="B8" s="9" t="inlineStr">
        <is>
          <t>AZAD PROPERTIES | RED MALLS</t>
        </is>
      </c>
      <c r="C8" s="10" t="inlineStr">
        <is>
          <t>1. DIAMOND SPONSOR</t>
        </is>
      </c>
      <c r="D8" s="8" t="n">
        <v>20</v>
      </c>
      <c r="E8" s="11" t="n"/>
      <c r="F8" s="11" t="n"/>
      <c r="G8" s="11" t="n"/>
      <c r="H8" s="11" t="n"/>
      <c r="I8" s="11" t="n"/>
      <c r="J8" s="11" t="n"/>
      <c r="K8" s="75" t="n"/>
    </row>
    <row r="9" s="72">
      <c r="A9" s="8" t="n">
        <v>5</v>
      </c>
      <c r="B9" s="9" t="inlineStr">
        <is>
          <t>KNOWLEDGE ECONOMIC CITY CO.</t>
        </is>
      </c>
      <c r="C9" s="12" t="inlineStr">
        <is>
          <t>2. PLATINUM SPONSOR</t>
        </is>
      </c>
      <c r="D9" s="8" t="n">
        <v>10</v>
      </c>
      <c r="E9" s="11" t="n"/>
      <c r="F9" s="11" t="n"/>
      <c r="G9" s="11" t="n"/>
      <c r="H9" s="11" t="n"/>
      <c r="I9" s="11" t="n"/>
      <c r="J9" s="11" t="n"/>
      <c r="K9" s="75" t="n"/>
    </row>
    <row r="10" s="72">
      <c r="A10" s="8" t="n">
        <v>6</v>
      </c>
      <c r="B10" s="9" t="inlineStr">
        <is>
          <t>RED SEA MALLS</t>
        </is>
      </c>
      <c r="C10" s="12" t="inlineStr">
        <is>
          <t>2. PLATINUM SPONSOR</t>
        </is>
      </c>
      <c r="D10" s="8" t="n">
        <v>16</v>
      </c>
      <c r="E10" s="11" t="n"/>
      <c r="F10" s="11" t="n"/>
      <c r="G10" s="11" t="n"/>
      <c r="H10" s="11" t="n"/>
      <c r="I10" s="11" t="n"/>
      <c r="J10" s="11" t="n"/>
      <c r="K10" s="75" t="n"/>
    </row>
    <row r="11" s="72">
      <c r="A11" s="8" t="n">
        <v>7</v>
      </c>
      <c r="B11" s="9" t="inlineStr">
        <is>
          <t>DANAH REAL ESTATE</t>
        </is>
      </c>
      <c r="C11" s="13" t="inlineStr">
        <is>
          <t>3. GOLD SPONSOR</t>
        </is>
      </c>
      <c r="D11" s="8" t="n">
        <v>12</v>
      </c>
      <c r="E11" s="11" t="n"/>
      <c r="F11" s="11" t="n"/>
      <c r="G11" s="11" t="n"/>
      <c r="H11" s="11" t="n"/>
      <c r="I11" s="11" t="n"/>
      <c r="J11" s="11" t="n"/>
      <c r="K11" s="75" t="n"/>
    </row>
    <row r="12" s="72">
      <c r="A12" s="8" t="n">
        <v>8</v>
      </c>
      <c r="B12" s="9" t="inlineStr">
        <is>
          <t>DALMA MALL</t>
        </is>
      </c>
      <c r="C12" s="13" t="inlineStr">
        <is>
          <t>3. GOLD SPONSOR</t>
        </is>
      </c>
      <c r="D12" s="8" t="n">
        <v>15</v>
      </c>
      <c r="E12" s="11" t="n"/>
      <c r="F12" s="11" t="n"/>
      <c r="G12" s="11" t="n"/>
      <c r="H12" s="11" t="n"/>
      <c r="I12" s="11" t="n"/>
      <c r="J12" s="11" t="n"/>
      <c r="K12" s="75" t="n"/>
    </row>
    <row r="13" s="72">
      <c r="A13" s="8" t="n">
        <v>9</v>
      </c>
      <c r="B13" s="9" t="inlineStr">
        <is>
          <t>YARDI SYSTEMS</t>
        </is>
      </c>
      <c r="C13" s="8" t="inlineStr">
        <is>
          <t>4. SILVER SPONSOR</t>
        </is>
      </c>
      <c r="D13" s="8" t="n">
        <v>4</v>
      </c>
      <c r="E13" s="11" t="n"/>
      <c r="F13" s="11" t="n"/>
      <c r="G13" s="11" t="n"/>
      <c r="H13" s="11" t="n"/>
      <c r="I13" s="11" t="n"/>
      <c r="J13" s="11" t="n"/>
      <c r="K13" s="75" t="n"/>
    </row>
    <row r="14" s="72">
      <c r="A14" s="8" t="n">
        <v>10</v>
      </c>
      <c r="B14" s="9" t="inlineStr">
        <is>
          <t>CHAMPION GROUP</t>
        </is>
      </c>
      <c r="C14" s="8" t="inlineStr">
        <is>
          <t>4. SILVER SPONSOR</t>
        </is>
      </c>
      <c r="D14" s="8" t="n">
        <v>2</v>
      </c>
      <c r="E14" s="11" t="n"/>
      <c r="F14" s="11" t="n"/>
      <c r="G14" s="11" t="n"/>
      <c r="H14" s="11" t="n"/>
      <c r="I14" s="11" t="n"/>
      <c r="J14" s="11" t="n"/>
      <c r="K14" s="75" t="inlineStr">
        <is>
          <t>PROVISIONAL — the RCM matrix (8 Oct 2026) says 'Not Yet Confirmed, entitlements subject to change'. Barter exchange.</t>
        </is>
      </c>
    </row>
    <row r="15" s="72">
      <c r="A15" s="8" t="n">
        <v>11</v>
      </c>
      <c r="B15" s="9" t="inlineStr">
        <is>
          <t>MRI SOFTWARE</t>
        </is>
      </c>
      <c r="C15" s="14" t="inlineStr">
        <is>
          <t>5. BRONZE SPONSOR</t>
        </is>
      </c>
      <c r="D15" s="8" t="n">
        <v>4</v>
      </c>
      <c r="E15" s="11" t="n"/>
      <c r="F15" s="11" t="n"/>
      <c r="G15" s="11" t="n"/>
      <c r="H15" s="11" t="n"/>
      <c r="I15" s="11" t="n"/>
      <c r="J15" s="11" t="n"/>
      <c r="K15" s="75" t="inlineStr">
        <is>
          <t>The signed contract (15 Jul 2026) grants 4 members. The RCM matrix of 8 Oct shows 0 — correct the matrix, or confirm the change in writing.</t>
        </is>
      </c>
    </row>
    <row r="16" s="72">
      <c r="A16" s="8" t="n">
        <v>12</v>
      </c>
      <c r="B16" s="9" t="inlineStr">
        <is>
          <t>GIFTSTARR</t>
        </is>
      </c>
      <c r="C16" s="14" t="inlineStr">
        <is>
          <t>5. BRONZE SPONSOR</t>
        </is>
      </c>
      <c r="D16" s="8" t="n">
        <v>4</v>
      </c>
      <c r="E16" s="11" t="n"/>
      <c r="F16" s="11" t="n"/>
      <c r="G16" s="11" t="n"/>
      <c r="H16" s="11" t="n"/>
      <c r="I16" s="11" t="n"/>
      <c r="J16" s="11" t="n"/>
      <c r="K16" s="75" t="n"/>
    </row>
    <row r="17" s="72">
      <c r="A17" s="8" t="n">
        <v>13</v>
      </c>
      <c r="B17" s="9" t="inlineStr">
        <is>
          <t>BURJUMAN</t>
        </is>
      </c>
      <c r="C17" s="14" t="inlineStr">
        <is>
          <t>5. BRONZE SPONSOR</t>
        </is>
      </c>
      <c r="D17" s="8" t="n">
        <v>4</v>
      </c>
      <c r="E17" s="11" t="n"/>
      <c r="F17" s="11" t="n"/>
      <c r="G17" s="11" t="n"/>
      <c r="H17" s="11" t="n"/>
      <c r="I17" s="11" t="n"/>
      <c r="J17" s="11" t="n"/>
      <c r="K17" s="75" t="n"/>
    </row>
    <row r="18" s="72">
      <c r="A18" s="8" t="n">
        <v>14</v>
      </c>
      <c r="B18" s="9" t="inlineStr">
        <is>
          <t>GROUND CONTROL ENTERTAINMENT</t>
        </is>
      </c>
      <c r="C18" s="14" t="inlineStr">
        <is>
          <t>5. BRONZE SPONSOR</t>
        </is>
      </c>
      <c r="D18" s="8" t="n">
        <v>3</v>
      </c>
      <c r="E18" s="11" t="n"/>
      <c r="F18" s="11" t="n"/>
      <c r="G18" s="11" t="n"/>
      <c r="H18" s="11" t="n"/>
      <c r="I18" s="11" t="n"/>
      <c r="J18" s="11" t="n"/>
      <c r="K18" s="75" t="inlineStr">
        <is>
          <t>Signed 11 Sep 2026 (DID-1033); 3 members per the contract.</t>
        </is>
      </c>
    </row>
    <row r="19" s="72">
      <c r="A19" s="8" t="n">
        <v>15</v>
      </c>
      <c r="B19" s="9" t="inlineStr">
        <is>
          <t>KINGDOM CENTRE</t>
        </is>
      </c>
      <c r="C19" s="14" t="inlineStr">
        <is>
          <t>5. BRONZE SPONSOR</t>
        </is>
      </c>
      <c r="D19" s="8" t="n">
        <v>8</v>
      </c>
      <c r="E19" s="11" t="n"/>
      <c r="F19" s="11" t="n"/>
      <c r="G19" s="11" t="n"/>
      <c r="H19" s="11" t="n"/>
      <c r="I19" s="11" t="n"/>
      <c r="J19" s="11" t="n"/>
      <c r="K19" s="75" t="inlineStr">
        <is>
          <t>Signed 30 Sep 2026. The contract grants 8 members (Silver Corporate Membership); the RCM matrix records only 'Yes'.</t>
        </is>
      </c>
    </row>
    <row r="20" ht="25.5" customHeight="1" s="72">
      <c r="A20" s="8" t="n">
        <v>16</v>
      </c>
      <c r="B20" s="9" t="inlineStr">
        <is>
          <t>AMUSEMENT SERVICES INTERNATIONAL LLC</t>
        </is>
      </c>
      <c r="C20" s="16" t="inlineStr">
        <is>
          <t>19. EXHIBITOR</t>
        </is>
      </c>
      <c r="D20" s="8" t="n">
        <v>2</v>
      </c>
      <c r="E20" s="11" t="n"/>
      <c r="F20" s="11" t="n"/>
      <c r="G20" s="11" t="n"/>
      <c r="H20" s="11" t="n"/>
      <c r="I20" s="11" t="n"/>
      <c r="J20" s="11" t="n"/>
      <c r="K20" s="75" t="n"/>
    </row>
    <row r="21">
      <c r="C21" s="17" t="inlineStr">
        <is>
          <t>TOTAL</t>
        </is>
      </c>
      <c r="D21" s="18">
        <f>SUM(D5:D20)</f>
        <v/>
      </c>
      <c r="E21" s="18">
        <f>SUM(E5:E20)</f>
        <v/>
      </c>
      <c r="F21" s="18">
        <f>SUM(F5:F20)</f>
        <v/>
      </c>
    </row>
    <row r="22" ht="26" customHeight="1" s="72">
      <c r="B22" s="71" t="inlineStr">
        <is>
          <t>Nominated = names received from the company (full name, job title, email, mobile). Activated = account created. Dates as YYYY-MM-DD.</t>
        </is>
      </c>
    </row>
  </sheetData>
  <autoFilter ref="A4:K20"/>
  <mergeCells count="3">
    <mergeCell ref="B22:I22"/>
    <mergeCell ref="A1:F1"/>
    <mergeCell ref="A2:J2"/>
  </mergeCells>
  <dataValidations count="1">
    <dataValidation sqref="I5:I47" showDropDown="0" showInputMessage="0" showErrorMessage="0" allowBlank="1" type="list">
      <formula1>"Not Started,Requested,In Progress,Received,Approved,Placed"</formula1>
    </dataValidation>
  </dataValidations>
  <pageMargins left="0.75" right="0.75" top="1" bottom="1" header="0.5" footer="0.5"/>
  <pageSetup orientation="landscape" fitToHeight="0"/>
</worksheet>
</file>

<file path=xl/worksheets/sheet5.xml><?xml version="1.0" encoding="utf-8"?>
<worksheet xmlns="http://schemas.openxmlformats.org/spreadsheetml/2006/main">
  <sheetPr>
    <outlinePr summaryBelow="1" summaryRight="1"/>
    <pageSetUpPr fitToPage="1"/>
  </sheetPr>
  <dimension ref="A1:P137"/>
  <sheetViews>
    <sheetView showGridLines="0" tabSelected="1" zoomScale="72" workbookViewId="0">
      <pane xSplit="3" ySplit="4" topLeftCell="D5" activePane="bottomRight" state="frozen"/>
      <selection pane="topRight" activeCell="A1" sqref="A1"/>
      <selection pane="bottomLeft" activeCell="A1" sqref="A1"/>
      <selection pane="bottomRight" activeCell="A97" sqref="A97:XFD139"/>
    </sheetView>
  </sheetViews>
  <sheetFormatPr baseColWidth="8" defaultRowHeight="14.25"/>
  <cols>
    <col width="6" customWidth="1" style="72" min="1" max="1"/>
    <col width="26" customWidth="1" style="72" min="2" max="2"/>
    <col width="40" customWidth="1" style="72" min="3" max="3"/>
    <col width="18" customWidth="1" style="72" min="4" max="4"/>
    <col width="6" customWidth="1" style="72" min="5" max="5"/>
    <col width="13" customWidth="1" style="72" min="6" max="7"/>
    <col width="22" customWidth="1" style="72" min="8" max="8"/>
    <col width="18" customWidth="1" style="72" min="9" max="9"/>
    <col width="52" customWidth="1" style="72" min="10" max="10"/>
    <col width="24" customWidth="1" style="72" min="11" max="11"/>
    <col width="18" customWidth="1" style="72" min="12" max="12"/>
    <col width="17" customWidth="1" style="72" min="13" max="13"/>
    <col width="16" customWidth="1" style="72" min="14" max="14"/>
    <col width="13" customWidth="1" style="72" min="15" max="15"/>
    <col width="34" customWidth="1" style="72" min="16" max="16"/>
  </cols>
  <sheetData>
    <row r="1" ht="17.65" customHeight="1" s="72">
      <c r="A1" s="73" t="inlineStr">
        <is>
          <t>04 · FLAT PLAN — MECSR Directory 2027 (384 pages)</t>
        </is>
      </c>
    </row>
    <row r="2" hidden="1" s="72">
      <c r="A2" s="74" t="inlineStr">
        <is>
          <t>The full plan. Blue columns are the locked structure; yellow columns are yours to fill in. THIS SHEET DRIVES THE HTML DOSSIER — edit here and the page follows.</t>
        </is>
      </c>
    </row>
    <row r="3" hidden="1" s="72"/>
    <row r="4" ht="32" customHeight="1" s="72">
      <c r="A4" s="6" t="inlineStr">
        <is>
          <t>SN</t>
        </is>
      </c>
      <c r="B4" s="6" t="inlineStr">
        <is>
          <t>SECTION</t>
        </is>
      </c>
      <c r="C4" s="6" t="inlineStr">
        <is>
          <t>ITEM</t>
        </is>
      </c>
      <c r="D4" s="6" t="inlineStr">
        <is>
          <t>TYPE</t>
        </is>
      </c>
      <c r="E4" s="6" t="inlineStr">
        <is>
          <t>PP</t>
        </is>
      </c>
      <c r="F4" s="6" t="inlineStr">
        <is>
          <t>2027 PAGES</t>
        </is>
      </c>
      <c r="G4" s="6" t="inlineStr">
        <is>
          <t>2026 PAGES</t>
        </is>
      </c>
      <c r="H4" s="6" t="inlineStr">
        <is>
          <t>2027 COUNT</t>
        </is>
      </c>
      <c r="I4" s="6" t="inlineStr">
        <is>
          <t>SUPPLIED BY</t>
        </is>
      </c>
      <c r="J4" s="6" t="inlineStr">
        <is>
          <t>SPEC / PLANNING NOTE</t>
        </is>
      </c>
      <c r="K4" s="7" t="inlineStr">
        <is>
          <t>SPONSOR / CLIENT</t>
        </is>
      </c>
      <c r="L4" s="7" t="inlineStr">
        <is>
          <t>ASSIGNED TO</t>
        </is>
      </c>
      <c r="M4" s="7" t="inlineStr">
        <is>
          <t>CONTENT STATUS</t>
        </is>
      </c>
      <c r="N4" s="7" t="inlineStr">
        <is>
          <t>DESIGN STATUS</t>
        </is>
      </c>
      <c r="O4" s="7" t="inlineStr">
        <is>
          <t>DUE DATE</t>
        </is>
      </c>
      <c r="P4" s="7" t="inlineStr">
        <is>
          <t>NOTES</t>
        </is>
      </c>
    </row>
    <row r="5" ht="26" customHeight="1" s="72">
      <c r="A5" s="8" t="n">
        <v>1</v>
      </c>
      <c r="B5" s="9" t="inlineStr">
        <is>
          <t>01 Front of Book</t>
        </is>
      </c>
      <c r="C5" s="9" t="inlineStr">
        <is>
          <t>Front Cover</t>
        </is>
      </c>
      <c r="D5" s="19" t="inlineStr">
        <is>
          <t>📕 Cover</t>
        </is>
      </c>
      <c r="E5" s="20" t="n">
        <v>1</v>
      </c>
      <c r="F5" s="21" t="inlineStr">
        <is>
          <t>1</t>
        </is>
      </c>
      <c r="G5" s="22" t="inlineStr">
        <is>
          <t>—</t>
        </is>
      </c>
      <c r="H5" s="15" t="inlineStr">
        <is>
          <t>—</t>
        </is>
      </c>
      <c r="I5" s="8" t="inlineStr">
        <is>
          <t>Design</t>
        </is>
      </c>
      <c r="J5" s="9" t="inlineStr">
        <is>
          <t>Hardcover concept selected from the 2027 cover proposals PDF</t>
        </is>
      </c>
      <c r="K5" s="11" t="n"/>
      <c r="L5" s="11" t="n"/>
      <c r="M5" s="11" t="n"/>
      <c r="N5" s="11" t="n"/>
      <c r="O5" s="11" t="n"/>
      <c r="P5" s="11" t="n"/>
    </row>
    <row r="6" ht="26" customHeight="1" s="72">
      <c r="A6" s="8" t="n">
        <v>2</v>
      </c>
      <c r="B6" s="9" t="inlineStr">
        <is>
          <t>01 Front of Book</t>
        </is>
      </c>
      <c r="C6" s="9" t="inlineStr">
        <is>
          <t>Inside Front Cover (IFC) AD</t>
        </is>
      </c>
      <c r="D6" s="23" t="inlineStr">
        <is>
          <t>📢 Ad</t>
        </is>
      </c>
      <c r="E6" s="20" t="n">
        <v>1</v>
      </c>
      <c r="F6" s="21" t="inlineStr">
        <is>
          <t>2</t>
        </is>
      </c>
      <c r="G6" s="22" t="inlineStr">
        <is>
          <t>—</t>
        </is>
      </c>
      <c r="H6" s="15" t="inlineStr">
        <is>
          <t>—</t>
        </is>
      </c>
      <c r="I6" s="8" t="inlineStr">
        <is>
          <t>Sales / Client</t>
        </is>
      </c>
      <c r="J6" s="9" t="inlineStr">
        <is>
          <t>Premium position — highest ad tier</t>
        </is>
      </c>
      <c r="K6" s="11" t="n"/>
      <c r="L6" s="11" t="n"/>
      <c r="M6" s="11" t="n"/>
      <c r="N6" s="11" t="n"/>
      <c r="O6" s="11" t="n"/>
      <c r="P6" s="11" t="inlineStr">
        <is>
          <t>v14 sample: stand-in photo (main hall, Retail Congress MENA 2026) until the title partner supplies artwork.</t>
        </is>
      </c>
    </row>
    <row r="7" ht="26" customHeight="1" s="72">
      <c r="A7" s="8" t="n">
        <v>3</v>
      </c>
      <c r="B7" s="9" t="inlineStr">
        <is>
          <t>01 Front of Book</t>
        </is>
      </c>
      <c r="C7" s="9" t="inlineStr">
        <is>
          <t>Table of Contents</t>
        </is>
      </c>
      <c r="D7" s="24" t="inlineStr">
        <is>
          <t>📑 TOC</t>
        </is>
      </c>
      <c r="E7" s="20" t="n">
        <v>1</v>
      </c>
      <c r="F7" s="21" t="inlineStr">
        <is>
          <t>3</t>
        </is>
      </c>
      <c r="G7" s="22" t="inlineStr">
        <is>
          <t>—</t>
        </is>
      </c>
      <c r="H7" s="15" t="inlineStr">
        <is>
          <t>—</t>
        </is>
      </c>
      <c r="I7" s="8" t="inlineStr">
        <is>
          <t>Editorial</t>
        </is>
      </c>
      <c r="J7" s="9" t="inlineStr">
        <is>
          <t>Built last, after pagination is frozen</t>
        </is>
      </c>
      <c r="K7" s="11" t="n"/>
      <c r="L7" s="11" t="n"/>
      <c r="M7" s="11" t="n"/>
      <c r="N7" s="11" t="n"/>
      <c r="O7" s="11" t="n"/>
      <c r="P7" s="11" t="n"/>
    </row>
    <row r="8" ht="26" customHeight="1" s="72">
      <c r="A8" s="8" t="n">
        <v>4</v>
      </c>
      <c r="B8" s="9" t="inlineStr">
        <is>
          <t>01 Front of Book</t>
        </is>
      </c>
      <c r="C8" s="9" t="inlineStr">
        <is>
          <t>About the 2027 Edition</t>
        </is>
      </c>
      <c r="D8" s="25" t="inlineStr">
        <is>
          <t>📰 Editorial</t>
        </is>
      </c>
      <c r="E8" s="20" t="n">
        <v>1</v>
      </c>
      <c r="F8" s="21" t="inlineStr">
        <is>
          <t>4</t>
        </is>
      </c>
      <c r="G8" s="22" t="inlineStr">
        <is>
          <t>—</t>
        </is>
      </c>
      <c r="H8" s="15" t="inlineStr">
        <is>
          <t>—</t>
        </is>
      </c>
      <c r="I8" s="8" t="inlineStr">
        <is>
          <t>Editorial</t>
        </is>
      </c>
      <c r="J8" s="15" t="inlineStr">
        <is>
          <t>—</t>
        </is>
      </c>
      <c r="K8" s="11" t="n"/>
      <c r="L8" s="11" t="n"/>
      <c r="M8" s="11" t="n"/>
      <c r="N8" s="11" t="n"/>
      <c r="O8" s="11" t="n"/>
      <c r="P8" s="11" t="n"/>
    </row>
    <row r="9" ht="26" customHeight="1" s="72">
      <c r="A9" s="8" t="n">
        <v>5</v>
      </c>
      <c r="B9" s="9" t="inlineStr">
        <is>
          <t>01 Front of Book</t>
        </is>
      </c>
      <c r="C9" s="9" t="inlineStr">
        <is>
          <t>What's New in 2027</t>
        </is>
      </c>
      <c r="D9" s="25" t="inlineStr">
        <is>
          <t>📰 Editorial</t>
        </is>
      </c>
      <c r="E9" s="20" t="n">
        <v>1</v>
      </c>
      <c r="F9" s="21" t="inlineStr">
        <is>
          <t>5</t>
        </is>
      </c>
      <c r="G9" s="22" t="inlineStr">
        <is>
          <t>—</t>
        </is>
      </c>
      <c r="H9" s="15" t="inlineStr">
        <is>
          <t>—</t>
        </is>
      </c>
      <c r="I9" s="8" t="inlineStr">
        <is>
          <t>Editorial</t>
        </is>
      </c>
      <c r="J9" s="15" t="inlineStr">
        <is>
          <t>—</t>
        </is>
      </c>
      <c r="K9" s="11" t="n"/>
      <c r="L9" s="11" t="n"/>
      <c r="M9" s="11" t="n"/>
      <c r="N9" s="11" t="n"/>
      <c r="O9" s="11" t="n"/>
      <c r="P9" s="11" t="n"/>
    </row>
    <row r="10" ht="26" customHeight="1" s="72">
      <c r="A10" s="8" t="n">
        <v>6</v>
      </c>
      <c r="B10" s="9" t="inlineStr">
        <is>
          <t>01 Front of Book</t>
        </is>
      </c>
      <c r="C10" s="9" t="inlineStr">
        <is>
          <t>Chairman's Message</t>
        </is>
      </c>
      <c r="D10" s="26" t="inlineStr">
        <is>
          <t>💬 Message</t>
        </is>
      </c>
      <c r="E10" s="20" t="n">
        <v>1</v>
      </c>
      <c r="F10" s="21" t="inlineStr">
        <is>
          <t>6</t>
        </is>
      </c>
      <c r="G10" s="22" t="inlineStr">
        <is>
          <t>—</t>
        </is>
      </c>
      <c r="H10" s="15" t="inlineStr">
        <is>
          <t>—</t>
        </is>
      </c>
      <c r="I10" s="8" t="inlineStr">
        <is>
          <t>Executive Office</t>
        </is>
      </c>
      <c r="J10" s="15" t="inlineStr">
        <is>
          <t>—</t>
        </is>
      </c>
      <c r="K10" s="11" t="n"/>
      <c r="L10" s="11" t="n"/>
      <c r="M10" s="11" t="n"/>
      <c r="N10" s="11" t="n"/>
      <c r="O10" s="11" t="n"/>
      <c r="P10" s="11" t="inlineStr">
        <is>
          <t>v14 sample: congress photo below the message; the portrait is still to be supplied.</t>
        </is>
      </c>
    </row>
    <row r="11" ht="26" customHeight="1" s="72">
      <c r="A11" s="8" t="n">
        <v>7</v>
      </c>
      <c r="B11" s="9" t="inlineStr">
        <is>
          <t>01 Front of Book</t>
        </is>
      </c>
      <c r="C11" s="9" t="inlineStr">
        <is>
          <t>CEO Message</t>
        </is>
      </c>
      <c r="D11" s="26" t="inlineStr">
        <is>
          <t>💬 Message</t>
        </is>
      </c>
      <c r="E11" s="20" t="n">
        <v>1</v>
      </c>
      <c r="F11" s="21" t="inlineStr">
        <is>
          <t>7</t>
        </is>
      </c>
      <c r="G11" s="22" t="inlineStr">
        <is>
          <t>—</t>
        </is>
      </c>
      <c r="H11" s="15" t="inlineStr">
        <is>
          <t>—</t>
        </is>
      </c>
      <c r="I11" s="8" t="inlineStr">
        <is>
          <t>Executive Office</t>
        </is>
      </c>
      <c r="J11" s="15" t="inlineStr">
        <is>
          <t>—</t>
        </is>
      </c>
      <c r="K11" s="11" t="n"/>
      <c r="L11" s="11" t="n"/>
      <c r="M11" s="11" t="n"/>
      <c r="N11" s="11" t="n"/>
      <c r="O11" s="11" t="n"/>
      <c r="P11" s="11" t="inlineStr">
        <is>
          <t>v14 sample: congress photo below the message; the portrait is still to be supplied.</t>
        </is>
      </c>
    </row>
    <row r="12" ht="26" customHeight="1" s="72">
      <c r="A12" s="8" t="n">
        <v>8</v>
      </c>
      <c r="B12" s="9" t="inlineStr">
        <is>
          <t>01 Front of Book</t>
        </is>
      </c>
      <c r="C12" s="9" t="inlineStr">
        <is>
          <t>President's Message</t>
        </is>
      </c>
      <c r="D12" s="26" t="inlineStr">
        <is>
          <t>💬 Message</t>
        </is>
      </c>
      <c r="E12" s="20" t="n">
        <v>1</v>
      </c>
      <c r="F12" s="21" t="inlineStr">
        <is>
          <t>8</t>
        </is>
      </c>
      <c r="G12" s="22" t="inlineStr">
        <is>
          <t>—</t>
        </is>
      </c>
      <c r="H12" s="15" t="inlineStr">
        <is>
          <t>—</t>
        </is>
      </c>
      <c r="I12" s="8" t="inlineStr">
        <is>
          <t>Executive Office</t>
        </is>
      </c>
      <c r="J12" s="15" t="inlineStr">
        <is>
          <t>—</t>
        </is>
      </c>
      <c r="K12" s="11" t="n"/>
      <c r="L12" s="11" t="n"/>
      <c r="M12" s="11" t="n"/>
      <c r="N12" s="11" t="n"/>
      <c r="O12" s="11" t="n"/>
      <c r="P12" s="11" t="inlineStr">
        <is>
          <t>v14 sample: congress photo below the message; the portrait is still to be supplied.</t>
        </is>
      </c>
    </row>
    <row r="13" ht="26" customHeight="1" s="72">
      <c r="A13" s="8" t="n">
        <v>9</v>
      </c>
      <c r="B13" s="9" t="inlineStr">
        <is>
          <t>01 Front of Book</t>
        </is>
      </c>
      <c r="C13" s="9" t="inlineStr">
        <is>
          <t>The People Behind MECSR — The MECSR Team</t>
        </is>
      </c>
      <c r="D13" s="25" t="inlineStr">
        <is>
          <t>📰 Editorial</t>
        </is>
      </c>
      <c r="E13" s="20" t="n">
        <v>1</v>
      </c>
      <c r="F13" s="21" t="inlineStr">
        <is>
          <t>9</t>
        </is>
      </c>
      <c r="G13" s="22" t="inlineStr">
        <is>
          <t>—</t>
        </is>
      </c>
      <c r="H13" s="15" t="inlineStr">
        <is>
          <t>—</t>
        </is>
      </c>
      <c r="I13" s="8" t="inlineStr">
        <is>
          <t>Editorial</t>
        </is>
      </c>
      <c r="J13" s="9" t="inlineStr">
        <is>
          <t>2026 page carried forward — refresh portraits and titles for 2027</t>
        </is>
      </c>
      <c r="K13" s="11" t="n"/>
      <c r="L13" s="11" t="n"/>
      <c r="M13" s="11" t="n"/>
      <c r="N13" s="11" t="n"/>
      <c r="O13" s="11" t="n"/>
      <c r="P13" s="11" t="n"/>
    </row>
    <row r="14" ht="26" customHeight="1" s="72">
      <c r="A14" s="8" t="n">
        <v>10</v>
      </c>
      <c r="B14" s="9" t="inlineStr">
        <is>
          <t>01 Front of Book</t>
        </is>
      </c>
      <c r="C14" s="9" t="inlineStr">
        <is>
          <t>The People Behind MECSR — Founding Fathers</t>
        </is>
      </c>
      <c r="D14" s="25" t="inlineStr">
        <is>
          <t>📰 Editorial</t>
        </is>
      </c>
      <c r="E14" s="20" t="n">
        <v>1</v>
      </c>
      <c r="F14" s="21" t="inlineStr">
        <is>
          <t>10</t>
        </is>
      </c>
      <c r="G14" s="22" t="inlineStr">
        <is>
          <t>—</t>
        </is>
      </c>
      <c r="H14" s="15" t="inlineStr">
        <is>
          <t>—</t>
        </is>
      </c>
      <c r="I14" s="8" t="inlineStr">
        <is>
          <t>Editorial</t>
        </is>
      </c>
      <c r="J14" s="9" t="inlineStr">
        <is>
          <t>2026 page carried forward — refresh portraits and titles for 2027</t>
        </is>
      </c>
      <c r="K14" s="11" t="n"/>
      <c r="L14" s="11" t="n"/>
      <c r="M14" s="11" t="n"/>
      <c r="N14" s="11" t="n"/>
      <c r="O14" s="11" t="n"/>
      <c r="P14" s="11" t="n"/>
    </row>
    <row r="15" ht="26" customHeight="1" s="72">
      <c r="A15" s="8" t="n">
        <v>11</v>
      </c>
      <c r="B15" s="9" t="inlineStr">
        <is>
          <t>01 Front of Book</t>
        </is>
      </c>
      <c r="C15" s="9" t="inlineStr">
        <is>
          <t>The People Behind MECSR — Board of Directors</t>
        </is>
      </c>
      <c r="D15" s="25" t="inlineStr">
        <is>
          <t>📰 Editorial</t>
        </is>
      </c>
      <c r="E15" s="20" t="n">
        <v>1</v>
      </c>
      <c r="F15" s="21" t="inlineStr">
        <is>
          <t>11</t>
        </is>
      </c>
      <c r="G15" s="22" t="inlineStr">
        <is>
          <t>—</t>
        </is>
      </c>
      <c r="H15" s="15" t="inlineStr">
        <is>
          <t>—</t>
        </is>
      </c>
      <c r="I15" s="8" t="inlineStr">
        <is>
          <t>Editorial</t>
        </is>
      </c>
      <c r="J15" s="9" t="inlineStr">
        <is>
          <t>2026 page carried forward — refresh portraits and titles for 2027</t>
        </is>
      </c>
      <c r="K15" s="11" t="n"/>
      <c r="L15" s="11" t="n"/>
      <c r="M15" s="11" t="n"/>
      <c r="N15" s="11" t="n"/>
      <c r="O15" s="11" t="n"/>
      <c r="P15" s="11" t="n"/>
    </row>
    <row r="16" ht="26" customHeight="1" s="72">
      <c r="A16" s="8" t="n">
        <v>12</v>
      </c>
      <c r="B16" s="9" t="inlineStr">
        <is>
          <t>01 Front of Book</t>
        </is>
      </c>
      <c r="C16" s="9" t="inlineStr">
        <is>
          <t>The People Behind MECSR — Global Representatives</t>
        </is>
      </c>
      <c r="D16" s="25" t="inlineStr">
        <is>
          <t>📰 Editorial</t>
        </is>
      </c>
      <c r="E16" s="20" t="n">
        <v>1</v>
      </c>
      <c r="F16" s="21" t="inlineStr">
        <is>
          <t>12</t>
        </is>
      </c>
      <c r="G16" s="22" t="inlineStr">
        <is>
          <t>—</t>
        </is>
      </c>
      <c r="H16" s="15" t="inlineStr">
        <is>
          <t>—</t>
        </is>
      </c>
      <c r="I16" s="8" t="inlineStr">
        <is>
          <t>Editorial</t>
        </is>
      </c>
      <c r="J16" s="9" t="inlineStr">
        <is>
          <t>2026 page carried forward — refresh portraits and titles for 2027</t>
        </is>
      </c>
      <c r="K16" s="11" t="n"/>
      <c r="L16" s="11" t="n"/>
      <c r="M16" s="11" t="n"/>
      <c r="N16" s="11" t="n"/>
      <c r="O16" s="11" t="n"/>
      <c r="P16" s="11" t="n"/>
    </row>
    <row r="17" ht="26" customHeight="1" s="72">
      <c r="A17" s="8" t="n">
        <v>13</v>
      </c>
      <c r="B17" s="9" t="inlineStr">
        <is>
          <t>01 Front of Book</t>
        </is>
      </c>
      <c r="C17" s="9" t="inlineStr">
        <is>
          <t>The MECSR Classification Standard 2027</t>
        </is>
      </c>
      <c r="D17" s="25" t="inlineStr">
        <is>
          <t>📰 Editorial</t>
        </is>
      </c>
      <c r="E17" s="20" t="n">
        <v>6</v>
      </c>
      <c r="F17" s="21" t="inlineStr">
        <is>
          <t>13–18</t>
        </is>
      </c>
      <c r="G17" s="22" t="inlineStr">
        <is>
          <t>—</t>
        </is>
      </c>
      <c r="H17" s="15" t="inlineStr">
        <is>
          <t>—</t>
        </is>
      </c>
      <c r="I17" s="8" t="inlineStr">
        <is>
          <t>Editorial</t>
        </is>
      </c>
      <c r="J17" s="9" t="inlineStr">
        <is>
          <t>Scale x Format x Characteristics, with the worked examples</t>
        </is>
      </c>
      <c r="K17" s="11" t="n"/>
      <c r="L17" s="11" t="n"/>
      <c r="M17" s="11" t="n"/>
      <c r="N17" s="11" t="n"/>
      <c r="O17" s="11" t="n"/>
      <c r="P17" s="11" t="n"/>
    </row>
    <row r="18" ht="26" customHeight="1" s="72">
      <c r="A18" s="8" t="n">
        <v>14</v>
      </c>
      <c r="B18" s="9" t="inlineStr">
        <is>
          <t>02 Company Showcase (DPS)</t>
        </is>
      </c>
      <c r="C18" s="9" t="inlineStr">
        <is>
          <t>Showcase — opener &amp; contents</t>
        </is>
      </c>
      <c r="D18" s="24" t="inlineStr">
        <is>
          <t>📑 TOC</t>
        </is>
      </c>
      <c r="E18" s="20" t="n">
        <v>1</v>
      </c>
      <c r="F18" s="21" t="inlineStr">
        <is>
          <t>19</t>
        </is>
      </c>
      <c r="G18" s="22" t="inlineStr">
        <is>
          <t>—</t>
        </is>
      </c>
      <c r="H18" s="15" t="inlineStr">
        <is>
          <t>—</t>
        </is>
      </c>
      <c r="I18" s="8" t="inlineStr">
        <is>
          <t>Editorial</t>
        </is>
      </c>
      <c r="J18" s="9" t="inlineStr">
        <is>
          <t>Opener and contents share one right-hand page, so every showcase opens on a left-hand page and faces its own right-hand page: 20|21, 22|23 … 34|35</t>
        </is>
      </c>
      <c r="K18" s="11" t="n"/>
      <c r="L18" s="11" t="n"/>
      <c r="M18" s="11" t="n"/>
      <c r="N18" s="11" t="n"/>
      <c r="O18" s="11" t="n"/>
      <c r="P18" s="11" t="n"/>
    </row>
    <row r="19" ht="26" customHeight="1" s="72">
      <c r="A19" s="8" t="n">
        <v>15</v>
      </c>
      <c r="B19" s="9" t="inlineStr">
        <is>
          <t>02 Company Showcase (DPS)</t>
        </is>
      </c>
      <c r="C19" s="9" t="inlineStr">
        <is>
          <t>DPS — Cenomi Centers</t>
        </is>
      </c>
      <c r="D19" s="27" t="inlineStr">
        <is>
          <t>⭐ Showcase</t>
        </is>
      </c>
      <c r="E19" s="20" t="n">
        <v>2</v>
      </c>
      <c r="F19" s="21" t="inlineStr">
        <is>
          <t>20–21</t>
        </is>
      </c>
      <c r="G19" s="22" t="inlineStr">
        <is>
          <t>—</t>
        </is>
      </c>
      <c r="H19" s="9" t="inlineStr">
        <is>
          <t>1. DIAMOND SPONSOR</t>
        </is>
      </c>
      <c r="I19" s="8" t="inlineStr">
        <is>
          <t>Client (contracted)</t>
        </is>
      </c>
      <c r="J19" s="9" t="inlineStr">
        <is>
          <t>20 centres · ~1.2m sqm GLA · targeting 1.9m by 2029 · Angle: The Westfield decade — importing a global operating standard into the Kingdom · Imagery: Westfield Riyadh atrium; Mall of Arabia Jeddah</t>
        </is>
      </c>
      <c r="K19" s="11" t="n"/>
      <c r="L19" s="11" t="n"/>
      <c r="M19" s="11" t="n"/>
      <c r="N19" s="11" t="n"/>
      <c r="O19" s="11" t="n"/>
      <c r="P19" s="11" t="inlineStr">
        <is>
          <t>v14 sample: the sponsor's own stand at Retail Congress MENA 2026 stands in for the imagery brief (right-hand page).</t>
        </is>
      </c>
    </row>
    <row r="20" ht="26" customHeight="1" s="72">
      <c r="A20" s="8" t="n">
        <v>16</v>
      </c>
      <c r="B20" s="9" t="inlineStr">
        <is>
          <t>02 Company Showcase (DPS)</t>
        </is>
      </c>
      <c r="C20" s="9" t="inlineStr">
        <is>
          <t>DPS — Unified Real Estate Development</t>
        </is>
      </c>
      <c r="D20" s="27" t="inlineStr">
        <is>
          <t>⭐ Showcase</t>
        </is>
      </c>
      <c r="E20" s="20" t="n">
        <v>2</v>
      </c>
      <c r="F20" s="21" t="inlineStr">
        <is>
          <t>22–23</t>
        </is>
      </c>
      <c r="G20" s="22" t="inlineStr">
        <is>
          <t>—</t>
        </is>
      </c>
      <c r="H20" s="9" t="inlineStr">
        <is>
          <t>1. DIAMOND SPONSOR</t>
        </is>
      </c>
      <c r="I20" s="8" t="inlineStr">
        <is>
          <t>Client (contracted)</t>
        </is>
      </c>
      <c r="J20" s="9" t="inlineStr">
        <is>
          <t>The Esplanade · 1364 Diplomatic Quarter · Town Square · The Bellevue · Angle: Open-air by design — the outdoor centre as the Saudi default, not the exception · Imagery: The Bellevue renders; 1364 colonnades at dusk</t>
        </is>
      </c>
      <c r="K20" s="11" t="n"/>
      <c r="L20" s="11" t="n"/>
      <c r="M20" s="11" t="n"/>
      <c r="N20" s="11" t="n"/>
      <c r="O20" s="11" t="n"/>
      <c r="P20" s="11" t="inlineStr">
        <is>
          <t>v14 sample: the sponsor's own stand at Retail Congress MENA 2026 stands in for the imagery brief (right-hand page).</t>
        </is>
      </c>
    </row>
    <row r="21" ht="26" customHeight="1" s="72">
      <c r="A21" s="8" t="n">
        <v>17</v>
      </c>
      <c r="B21" s="9" t="inlineStr">
        <is>
          <t>02 Company Showcase (DPS)</t>
        </is>
      </c>
      <c r="C21" s="9" t="inlineStr">
        <is>
          <t>DPS — Al Othaim Investment</t>
        </is>
      </c>
      <c r="D21" s="27" t="inlineStr">
        <is>
          <t>⭐ Showcase</t>
        </is>
      </c>
      <c r="E21" s="20" t="n">
        <v>2</v>
      </c>
      <c r="F21" s="21" t="inlineStr">
        <is>
          <t>24–25</t>
        </is>
      </c>
      <c r="G21" s="22" t="inlineStr">
        <is>
          <t>—</t>
        </is>
      </c>
      <c r="H21" s="9" t="inlineStr">
        <is>
          <t>1. DIAMOND SPONSOR</t>
        </is>
      </c>
      <c r="I21" s="8" t="inlineStr">
        <is>
          <t>Client (contracted)</t>
        </is>
      </c>
      <c r="J21" s="9" t="inlineStr">
        <is>
          <t>8 malls trading · 30 planned by 2030 · SAR 10bn+ committed · Angle: The secondary-city thesis — building where the catchment is underserved · Imagery: Othaim Mall Khurais; Grand Mall Hail</t>
        </is>
      </c>
      <c r="K21" s="11" t="n"/>
      <c r="L21" s="11" t="n"/>
      <c r="M21" s="11" t="n"/>
      <c r="N21" s="11" t="n"/>
      <c r="O21" s="11" t="n"/>
      <c r="P21" s="11" t="inlineStr">
        <is>
          <t>v14 sample: the sponsor's own stand at Retail Congress MENA 2026 stands in for the imagery brief (right-hand page).</t>
        </is>
      </c>
    </row>
    <row r="22" ht="26" customHeight="1" s="72">
      <c r="A22" s="8" t="n">
        <v>18</v>
      </c>
      <c r="B22" s="9" t="inlineStr">
        <is>
          <t>02 Company Showcase (DPS)</t>
        </is>
      </c>
      <c r="C22" s="9" t="inlineStr">
        <is>
          <t>DPS — Azad Properties</t>
        </is>
      </c>
      <c r="D22" s="27" t="inlineStr">
        <is>
          <t>⭐ Showcase</t>
        </is>
      </c>
      <c r="E22" s="20" t="n">
        <v>2</v>
      </c>
      <c r="F22" s="21" t="inlineStr">
        <is>
          <t>26–27</t>
        </is>
      </c>
      <c r="G22" s="22" t="inlineStr">
        <is>
          <t>—</t>
        </is>
      </c>
      <c r="H22" s="9" t="inlineStr">
        <is>
          <t>1. DIAMOND SPONSOR</t>
        </is>
      </c>
      <c r="I22" s="8" t="inlineStr">
        <is>
          <t>Client (contracted)</t>
        </is>
      </c>
      <c r="J22" s="9" t="inlineStr">
        <is>
          <t>16 managed properties · 2.3m sqm · 36m+ annual visitors · Angle: Souq7 — proving the traditional souq scales without losing what makes it a souq · Imagery: Souq7 open-air zones, opening-night drone show</t>
        </is>
      </c>
      <c r="K22" s="11" t="n"/>
      <c r="L22" s="11" t="n"/>
      <c r="M22" s="11" t="n"/>
      <c r="N22" s="11" t="n"/>
      <c r="O22" s="11" t="n"/>
      <c r="P22" s="11" t="inlineStr">
        <is>
          <t>v14 sample: the sponsor's own stand at Retail Congress MENA 2026 stands in for the imagery brief (right-hand page).</t>
        </is>
      </c>
    </row>
    <row r="23" ht="26" customHeight="1" s="72">
      <c r="A23" s="8" t="n">
        <v>19</v>
      </c>
      <c r="B23" s="9" t="inlineStr">
        <is>
          <t>02 Company Showcase (DPS)</t>
        </is>
      </c>
      <c r="C23" s="9" t="inlineStr">
        <is>
          <t>DPS — Knowledge Economic City</t>
        </is>
      </c>
      <c r="D23" s="27" t="inlineStr">
        <is>
          <t>⭐ Showcase</t>
        </is>
      </c>
      <c r="E23" s="20" t="n">
        <v>2</v>
      </c>
      <c r="F23" s="21" t="inlineStr">
        <is>
          <t>28–29</t>
        </is>
      </c>
      <c r="G23" s="22" t="inlineStr">
        <is>
          <t>—</t>
        </is>
      </c>
      <c r="H23" s="9" t="inlineStr">
        <is>
          <t>2. PLATINUM SPONSOR</t>
        </is>
      </c>
      <c r="I23" s="8" t="inlineStr">
        <is>
          <t>Client (contracted)</t>
        </is>
      </c>
      <c r="J23" s="9" t="inlineStr">
        <is>
          <t>6.8m sqm masterplan · SAR 24bn committed · Madinah · Angle: Retail underwritten by pilgrimage, not by the economic cycle · Imagery: Multaqa AlMadinah renders; Madinah skyline</t>
        </is>
      </c>
      <c r="K23" s="11" t="n"/>
      <c r="L23" s="11" t="n"/>
      <c r="M23" s="11" t="n"/>
      <c r="N23" s="11" t="n"/>
      <c r="O23" s="11" t="n"/>
      <c r="P23" s="11" t="inlineStr">
        <is>
          <t>v14 sample: the sponsor's own stand at Retail Congress MENA 2026 stands in for the imagery brief (right-hand page).</t>
        </is>
      </c>
    </row>
    <row r="24" ht="26" customHeight="1" s="72">
      <c r="A24" s="8" t="n">
        <v>20</v>
      </c>
      <c r="B24" s="9" t="inlineStr">
        <is>
          <t>02 Company Showcase (DPS)</t>
        </is>
      </c>
      <c r="C24" s="9" t="inlineStr">
        <is>
          <t>DPS — Red Sea Malls</t>
        </is>
      </c>
      <c r="D24" s="27" t="inlineStr">
        <is>
          <t>⭐ Showcase</t>
        </is>
      </c>
      <c r="E24" s="20" t="n">
        <v>2</v>
      </c>
      <c r="F24" s="21" t="inlineStr">
        <is>
          <t>30–31</t>
        </is>
      </c>
      <c r="G24" s="22" t="inlineStr">
        <is>
          <t>—</t>
        </is>
      </c>
      <c r="H24" s="9" t="inlineStr">
        <is>
          <t>2. PLATINUM SPONSOR</t>
        </is>
      </c>
      <c r="I24" s="8" t="inlineStr">
        <is>
          <t>Client (contracted)</t>
        </is>
      </c>
      <c r="J24" s="9" t="inlineStr">
        <is>
          <t>Red Sea Mall Jeddah · 17m+ visitors a year · attached five-star hotel · Angle: Repositioning a mature flagship without adding a square metre · Imagery: Domed central atrium; the linked Joudyan tower</t>
        </is>
      </c>
      <c r="K24" s="11" t="n"/>
      <c r="L24" s="11" t="n"/>
      <c r="M24" s="11" t="n"/>
      <c r="N24" s="11" t="n"/>
      <c r="O24" s="11" t="n"/>
      <c r="P24" s="11" t="inlineStr">
        <is>
          <t>v14 sample: the sponsor's own stand at Retail Congress MENA 2026 stands in for the imagery brief (right-hand page).</t>
        </is>
      </c>
    </row>
    <row r="25" ht="26" customHeight="1" s="72">
      <c r="A25" s="8" t="n">
        <v>21</v>
      </c>
      <c r="B25" s="9" t="inlineStr">
        <is>
          <t>02 Company Showcase (DPS)</t>
        </is>
      </c>
      <c r="C25" s="9" t="inlineStr">
        <is>
          <t>DPS — OPEN SLOT — to be sold</t>
        </is>
      </c>
      <c r="D25" s="27" t="inlineStr">
        <is>
          <t>⭐ Showcase</t>
        </is>
      </c>
      <c r="E25" s="20" t="n">
        <v>2</v>
      </c>
      <c r="F25" s="21" t="inlineStr">
        <is>
          <t>32–33</t>
        </is>
      </c>
      <c r="G25" s="22" t="inlineStr">
        <is>
          <t>—</t>
        </is>
      </c>
      <c r="H25" s="15" t="inlineStr">
        <is>
          <t>—</t>
        </is>
      </c>
      <c r="I25" s="8" t="inlineStr">
        <is>
          <t>Client (contracted)</t>
        </is>
      </c>
      <c r="J25" s="9" t="inlineStr">
        <is>
          <t>Open double-page spread — still to sell</t>
        </is>
      </c>
      <c r="K25" s="11" t="n"/>
      <c r="L25" s="11" t="n"/>
      <c r="M25" s="11" t="n"/>
      <c r="N25" s="11" t="n"/>
      <c r="O25" s="11" t="n"/>
      <c r="P25" s="11" t="n"/>
    </row>
    <row r="26" ht="26" customHeight="1" s="72">
      <c r="A26" s="8" t="n">
        <v>22</v>
      </c>
      <c r="B26" s="9" t="inlineStr">
        <is>
          <t>02 Company Showcase (DPS)</t>
        </is>
      </c>
      <c r="C26" s="9" t="inlineStr">
        <is>
          <t>DPS — OPEN SLOT — to be sold</t>
        </is>
      </c>
      <c r="D26" s="27" t="inlineStr">
        <is>
          <t>⭐ Showcase</t>
        </is>
      </c>
      <c r="E26" s="20" t="n">
        <v>2</v>
      </c>
      <c r="F26" s="21" t="inlineStr">
        <is>
          <t>34–35</t>
        </is>
      </c>
      <c r="G26" s="22" t="inlineStr">
        <is>
          <t>—</t>
        </is>
      </c>
      <c r="H26" s="15" t="inlineStr">
        <is>
          <t>—</t>
        </is>
      </c>
      <c r="I26" s="8" t="inlineStr">
        <is>
          <t>Client (contracted)</t>
        </is>
      </c>
      <c r="J26" s="9" t="inlineStr">
        <is>
          <t>Open double-page spread — still to sell</t>
        </is>
      </c>
      <c r="K26" s="11" t="n"/>
      <c r="L26" s="11" t="n"/>
      <c r="M26" s="11" t="n"/>
      <c r="N26" s="11" t="n"/>
      <c r="O26" s="11" t="n"/>
      <c r="P26" s="11" t="n"/>
    </row>
    <row r="27" ht="26" customHeight="1" s="72">
      <c r="A27" s="8" t="n">
        <v>23</v>
      </c>
      <c r="B27" s="9" t="inlineStr">
        <is>
          <t>03 Expert Views</t>
        </is>
      </c>
      <c r="C27" s="9" t="inlineStr">
        <is>
          <t>Expert Views — opener &amp; contents</t>
        </is>
      </c>
      <c r="D27" s="24" t="inlineStr">
        <is>
          <t>📑 TOC</t>
        </is>
      </c>
      <c r="E27" s="20" t="n">
        <v>2</v>
      </c>
      <c r="F27" s="21" t="inlineStr">
        <is>
          <t>36–37</t>
        </is>
      </c>
      <c r="G27" s="22" t="inlineStr">
        <is>
          <t>—</t>
        </is>
      </c>
      <c r="H27" s="15" t="inlineStr">
        <is>
          <t>—</t>
        </is>
      </c>
      <c r="I27" s="8" t="inlineStr">
        <is>
          <t>Editorial</t>
        </is>
      </c>
      <c r="J27" s="9" t="inlineStr">
        <is>
          <t>Opener (p36) facing the contents list of author, subject and spread (p37)</t>
        </is>
      </c>
      <c r="K27" s="11" t="n"/>
      <c r="L27" s="11" t="n"/>
      <c r="M27" s="11" t="n"/>
      <c r="N27" s="11" t="n"/>
      <c r="O27" s="11" t="n"/>
      <c r="P27" s="11" t="n"/>
    </row>
    <row r="28" ht="26" customHeight="1" s="72">
      <c r="A28" s="8" t="n">
        <v>24</v>
      </c>
      <c r="B28" s="9" t="inlineStr">
        <is>
          <t>03 Expert Views</t>
        </is>
      </c>
      <c r="C28" s="9" t="inlineStr">
        <is>
          <t>Cenomi Centers — "What Westfield Actually Changes"</t>
        </is>
      </c>
      <c r="D28" s="28" t="inlineStr">
        <is>
          <t>✍️ Article</t>
        </is>
      </c>
      <c r="E28" s="20" t="n">
        <v>2</v>
      </c>
      <c r="F28" s="21" t="inlineStr">
        <is>
          <t>38–39</t>
        </is>
      </c>
      <c r="G28" s="22" t="inlineStr">
        <is>
          <t>—</t>
        </is>
      </c>
      <c r="H28" s="9" t="inlineStr">
        <is>
          <t>Cenomi Centers</t>
        </is>
      </c>
      <c r="I28" s="8" t="inlineStr">
        <is>
          <t>Client (contracted)</t>
        </is>
      </c>
      <c r="J28" s="9" t="inlineStr">
        <is>
          <t>Alison Rehill-Erguven, Chief Executive Officer. A global brand licence is an operating discipline before it is a logo. On what had to change inside the business before the first Westfield centre could open in the Kingdom. Basis: URW licence Dec 2024; Westfield Riyadh opens Q4 2026.</t>
        </is>
      </c>
      <c r="K28" s="11" t="n"/>
      <c r="L28" s="11" t="n"/>
      <c r="M28" s="11" t="n"/>
      <c r="N28" s="11" t="n"/>
      <c r="O28" s="11" t="n"/>
      <c r="P28" s="11" t="inlineStr">
        <is>
          <t>v14 sample: a congress photo stands in for the author's supporting images; the headshot is still to be supplied.</t>
        </is>
      </c>
    </row>
    <row r="29" ht="26" customHeight="1" s="72">
      <c r="A29" s="8" t="n">
        <v>25</v>
      </c>
      <c r="B29" s="9" t="inlineStr">
        <is>
          <t>03 Expert Views</t>
        </is>
      </c>
      <c r="C29" s="9" t="inlineStr">
        <is>
          <t>Knowledge Economic City — "Ten Million Visitors Who Did Not Come to Shop"</t>
        </is>
      </c>
      <c r="D29" s="28" t="inlineStr">
        <is>
          <t>✍️ Article</t>
        </is>
      </c>
      <c r="E29" s="20" t="n">
        <v>2</v>
      </c>
      <c r="F29" s="21" t="inlineStr">
        <is>
          <t>40–41</t>
        </is>
      </c>
      <c r="G29" s="22" t="inlineStr">
        <is>
          <t>—</t>
        </is>
      </c>
      <c r="H29" s="9" t="inlineStr">
        <is>
          <t>Knowledge Economic City</t>
        </is>
      </c>
      <c r="I29" s="8" t="inlineStr">
        <is>
          <t>Client (contracted)</t>
        </is>
      </c>
      <c r="J29" s="9" t="inlineStr">
        <is>
          <t>Dr. Moath Al Yahya, Chief Executive Officer. Madinah's demand anchor is pilgrimage. Why that makes retail underwriting in a faith-tourism city a different exercise from anywhere else in the region. Basis: SAR 24bn committed, announced FHS Saudi Arabia June 2026.</t>
        </is>
      </c>
      <c r="K29" s="11" t="n"/>
      <c r="L29" s="11" t="n"/>
      <c r="M29" s="11" t="n"/>
      <c r="N29" s="11" t="n"/>
      <c r="O29" s="11" t="n"/>
      <c r="P29" s="11" t="inlineStr">
        <is>
          <t>v14 sample: a congress photo stands in for the author's supporting images; the headshot is still to be supplied.</t>
        </is>
      </c>
    </row>
    <row r="30" ht="26" customHeight="1" s="72">
      <c r="A30" s="8" t="n">
        <v>26</v>
      </c>
      <c r="B30" s="9" t="inlineStr">
        <is>
          <t>03 Expert Views</t>
        </is>
      </c>
      <c r="C30" s="9" t="inlineStr">
        <is>
          <t>Azad Properties — "A Souq at 720,000 Square Metres"</t>
        </is>
      </c>
      <c r="D30" s="28" t="inlineStr">
        <is>
          <t>✍️ Article</t>
        </is>
      </c>
      <c r="E30" s="20" t="n">
        <v>2</v>
      </c>
      <c r="F30" s="21" t="inlineStr">
        <is>
          <t>42–43</t>
        </is>
      </c>
      <c r="G30" s="22" t="inlineStr">
        <is>
          <t>—</t>
        </is>
      </c>
      <c r="H30" s="9" t="inlineStr">
        <is>
          <t>Azad Properties</t>
        </is>
      </c>
      <c r="I30" s="8" t="inlineStr">
        <is>
          <t>Client (contracted)</t>
        </is>
      </c>
      <c r="J30" s="9" t="inlineStr">
        <is>
          <t>Ayman Al Burti, Chief Executive Officer. Scale usually flattens the thing it scales. What Souq7 did to keep the format intact while making the economics work. Basis: Souq7 opened 10 Dec 2025.</t>
        </is>
      </c>
      <c r="K30" s="11" t="n"/>
      <c r="L30" s="11" t="n"/>
      <c r="M30" s="11" t="n"/>
      <c r="N30" s="11" t="n"/>
      <c r="O30" s="11" t="n"/>
      <c r="P30" s="11" t="inlineStr">
        <is>
          <t>v14 sample: a congress photo stands in for the author's supporting images; the headshot is still to be supplied.</t>
        </is>
      </c>
    </row>
    <row r="31" ht="26" customHeight="1" s="72">
      <c r="A31" s="8" t="n">
        <v>27</v>
      </c>
      <c r="B31" s="9" t="inlineStr">
        <is>
          <t>03 Expert Views</t>
        </is>
      </c>
      <c r="C31" s="9" t="inlineStr">
        <is>
          <t>Red Sea Malls — "Twenty Years In, and Trading Better"</t>
        </is>
      </c>
      <c r="D31" s="28" t="inlineStr">
        <is>
          <t>✍️ Article</t>
        </is>
      </c>
      <c r="E31" s="20" t="n">
        <v>2</v>
      </c>
      <c r="F31" s="21" t="inlineStr">
        <is>
          <t>44–45</t>
        </is>
      </c>
      <c r="G31" s="22" t="inlineStr">
        <is>
          <t>—</t>
        </is>
      </c>
      <c r="H31" s="9" t="inlineStr">
        <is>
          <t>Red Sea Malls</t>
        </is>
      </c>
      <c r="I31" s="8" t="inlineStr">
        <is>
          <t>Client (contracted)</t>
        </is>
      </c>
      <c r="J31" s="9" t="inlineStr">
        <is>
          <t>Ibrahim Al Qasmi, Chief Executive Officer. The case for reworking 10,000 sqm of an existing centre rather than building 100,000 new ones — and what the wellness and beauty categories did to dwell time. Basis: May 2025 remerchandising, 20+ new concepts.</t>
        </is>
      </c>
      <c r="K31" s="11" t="n"/>
      <c r="L31" s="11" t="n"/>
      <c r="M31" s="11" t="n"/>
      <c r="N31" s="11" t="n"/>
      <c r="O31" s="11" t="n"/>
      <c r="P31" s="11" t="inlineStr">
        <is>
          <t>v14 sample: a congress photo stands in for the author's supporting images; the headshot is still to be supplied.</t>
        </is>
      </c>
    </row>
    <row r="32" ht="26" customHeight="1" s="72">
      <c r="A32" s="8" t="n">
        <v>28</v>
      </c>
      <c r="B32" s="9" t="inlineStr">
        <is>
          <t>03 Expert Views</t>
        </is>
      </c>
      <c r="C32" s="9" t="inlineStr">
        <is>
          <t>Danah Real Estate — "Renovating a Mall That Never Closes"</t>
        </is>
      </c>
      <c r="D32" s="28" t="inlineStr">
        <is>
          <t>✍️ Article</t>
        </is>
      </c>
      <c r="E32" s="20" t="n">
        <v>2</v>
      </c>
      <c r="F32" s="21" t="inlineStr">
        <is>
          <t>46–47</t>
        </is>
      </c>
      <c r="G32" s="22" t="inlineStr">
        <is>
          <t>—</t>
        </is>
      </c>
      <c r="H32" s="9" t="inlineStr">
        <is>
          <t>Danah Real Estate</t>
        </is>
      </c>
      <c r="I32" s="8" t="inlineStr">
        <is>
          <t>Client (contracted)</t>
        </is>
      </c>
      <c r="J32" s="9" t="inlineStr">
        <is>
          <t>Yasser Al Kaltham, Chief Commercial Officer. Al Rashid Mall has been rebuilt around its shoppers since February 2023 without shutting a single trading day. The operational cost of that decision, and why it was still the right one. Basis: Trading-while-renovating since Feb 2023; Fashion Avenue, Al Rashid Walk, The Dome.</t>
        </is>
      </c>
      <c r="K32" s="11" t="n"/>
      <c r="L32" s="11" t="n"/>
      <c r="M32" s="11" t="n"/>
      <c r="N32" s="11" t="n"/>
      <c r="O32" s="11" t="n"/>
      <c r="P32" s="11" t="inlineStr">
        <is>
          <t>v14 sample: a congress photo stands in for the author's supporting images; the headshot is still to be supplied.</t>
        </is>
      </c>
    </row>
    <row r="33" ht="26" customHeight="1" s="72">
      <c r="A33" s="8" t="n">
        <v>29</v>
      </c>
      <c r="B33" s="9" t="inlineStr">
        <is>
          <t>03 Expert Views</t>
        </is>
      </c>
      <c r="C33" s="9" t="inlineStr">
        <is>
          <t>Yardi Systems — "There Is No AI Without One Set of Numbers"</t>
        </is>
      </c>
      <c r="D33" s="28" t="inlineStr">
        <is>
          <t>✍️ Article</t>
        </is>
      </c>
      <c r="E33" s="20" t="n">
        <v>2</v>
      </c>
      <c r="F33" s="21" t="inlineStr">
        <is>
          <t>48–49</t>
        </is>
      </c>
      <c r="G33" s="22" t="inlineStr">
        <is>
          <t>—</t>
        </is>
      </c>
      <c r="H33" s="9" t="inlineStr">
        <is>
          <t>Yardi Systems</t>
        </is>
      </c>
      <c r="I33" s="8" t="inlineStr">
        <is>
          <t>Client (contracted)</t>
        </is>
      </c>
      <c r="J33" s="9" t="inlineStr">
        <is>
          <t>Neal Gemassmer, VP &amp; General Manager, International. Most landlords are three systems away from being able to use the tools they are being sold. On what a single source of truth actually requires. Basis: Gemassmer, published: 'AI relies on accurate data and a single source of truth'.</t>
        </is>
      </c>
      <c r="K33" s="11" t="n"/>
      <c r="L33" s="11" t="n"/>
      <c r="M33" s="11" t="n"/>
      <c r="N33" s="11" t="n"/>
      <c r="O33" s="11" t="n"/>
      <c r="P33" s="11" t="inlineStr">
        <is>
          <t>v14 sample: a congress photo stands in for the author's supporting images; the headshot is still to be supplied.</t>
        </is>
      </c>
    </row>
    <row r="34" ht="26" customHeight="1" s="72">
      <c r="A34" s="8" t="n">
        <v>30</v>
      </c>
      <c r="B34" s="9" t="inlineStr">
        <is>
          <t>03 Expert Views</t>
        </is>
      </c>
      <c r="C34" s="9" t="inlineStr">
        <is>
          <t>MRI Software — "Software That Knows Where It Is"</t>
        </is>
      </c>
      <c r="D34" s="28" t="inlineStr">
        <is>
          <t>✍️ Article</t>
        </is>
      </c>
      <c r="E34" s="20" t="n">
        <v>2</v>
      </c>
      <c r="F34" s="21" t="inlineStr">
        <is>
          <t>50–51</t>
        </is>
      </c>
      <c r="G34" s="22" t="inlineStr">
        <is>
          <t>—</t>
        </is>
      </c>
      <c r="H34" s="9" t="inlineStr">
        <is>
          <t>MRI Software</t>
        </is>
      </c>
      <c r="I34" s="8" t="inlineStr">
        <is>
          <t>Client (contracted)</t>
        </is>
      </c>
      <c r="J34" s="9" t="inlineStr">
        <is>
          <t>Robert Stringer, Managing Director, Middle East. Why regional property platforms fail when they are localised as an afterthought, and what changed when the engineering moved closer to the market. Basis: Riyadh office opened 22 Oct 2025.</t>
        </is>
      </c>
      <c r="K34" s="11" t="n"/>
      <c r="L34" s="11" t="n"/>
      <c r="M34" s="11" t="n"/>
      <c r="N34" s="11" t="n"/>
      <c r="O34" s="11" t="n"/>
      <c r="P34" s="11" t="inlineStr">
        <is>
          <t>v14 sample: a congress photo stands in for the author's supporting images; the headshot is still to be supplied.</t>
        </is>
      </c>
    </row>
    <row r="35" ht="26" customHeight="1" s="72">
      <c r="A35" s="8" t="n">
        <v>31</v>
      </c>
      <c r="B35" s="9" t="inlineStr">
        <is>
          <t>03 Expert Views</t>
        </is>
      </c>
      <c r="C35" s="9" t="inlineStr">
        <is>
          <t>LuckyOne Mall — "From Mall to District"</t>
        </is>
      </c>
      <c r="D35" s="28" t="inlineStr">
        <is>
          <t>✍️ Article</t>
        </is>
      </c>
      <c r="E35" s="20" t="n">
        <v>2</v>
      </c>
      <c r="F35" s="21" t="inlineStr">
        <is>
          <t>52–53</t>
        </is>
      </c>
      <c r="G35" s="22" t="inlineStr">
        <is>
          <t>—</t>
        </is>
      </c>
      <c r="H35" s="9" t="inlineStr">
        <is>
          <t>LuckyOne Mall</t>
        </is>
      </c>
      <c r="I35" s="8" t="inlineStr">
        <is>
          <t>Client (contracted)</t>
        </is>
      </c>
      <c r="J35" s="9" t="inlineStr">
        <is>
          <t>Saad Zuberi, Chief Executive Officer. Pakistan's largest centre is becoming a mixed-use address. What eight residential towers on the same podium do to a retail operating model. Basis: Lucky One Towers under construction; prior MECSR Q&amp;A with Zuberi.</t>
        </is>
      </c>
      <c r="K35" s="11" t="n"/>
      <c r="L35" s="11" t="n"/>
      <c r="M35" s="11" t="n"/>
      <c r="N35" s="11" t="n"/>
      <c r="O35" s="11" t="n"/>
      <c r="P35" s="11" t="inlineStr">
        <is>
          <t>v14 sample: a congress photo stands in for the author's supporting images; the headshot is still to be supplied.</t>
        </is>
      </c>
    </row>
    <row r="36" ht="26" customHeight="1" s="72">
      <c r="A36" s="8" t="n">
        <v>32</v>
      </c>
      <c r="B36" s="9" t="inlineStr">
        <is>
          <t>03 Expert Views</t>
        </is>
      </c>
      <c r="C36" s="9" t="inlineStr">
        <is>
          <t>Heartatwork Hospitality Consulting — "The Food Court Is Dead. Long Live the Food Court."</t>
        </is>
      </c>
      <c r="D36" s="28" t="inlineStr">
        <is>
          <t>✍️ Article</t>
        </is>
      </c>
      <c r="E36" s="20" t="n">
        <v>2</v>
      </c>
      <c r="F36" s="21" t="inlineStr">
        <is>
          <t>54–55</t>
        </is>
      </c>
      <c r="G36" s="22" t="inlineStr">
        <is>
          <t>—</t>
        </is>
      </c>
      <c r="H36" s="9" t="inlineStr">
        <is>
          <t>Heartatwork Hospitality Consulting</t>
        </is>
      </c>
      <c r="I36" s="8" t="inlineStr">
        <is>
          <t>Client (contracted)</t>
        </is>
      </c>
      <c r="J36" s="9" t="inlineStr">
        <is>
          <t>Will Odwarka, Founder &amp; Chief Executive Officer. Landlords keep leasing F&amp;B as though it were retail with a kitchen. Thirty years and a thousand openings say otherwise. Basis: Published ACROSS column of the same thesis; ACROSS Advisory Board.</t>
        </is>
      </c>
      <c r="K36" s="11" t="n"/>
      <c r="L36" s="11" t="n"/>
      <c r="M36" s="11" t="n"/>
      <c r="N36" s="11" t="n"/>
      <c r="O36" s="11" t="n"/>
      <c r="P36" s="11" t="inlineStr">
        <is>
          <t>v14 sample: a congress photo stands in for the author's supporting images; the headshot is still to be supplied.</t>
        </is>
      </c>
    </row>
    <row r="37" ht="26" customHeight="1" s="72">
      <c r="A37" s="8" t="n">
        <v>33</v>
      </c>
      <c r="B37" s="9" t="inlineStr">
        <is>
          <t>04 Country Profiles (GMRC)</t>
        </is>
      </c>
      <c r="C37" s="9" t="inlineStr">
        <is>
          <t>Country Profiles — opener &amp; contents</t>
        </is>
      </c>
      <c r="D37" s="24" t="inlineStr">
        <is>
          <t>📑 TOC</t>
        </is>
      </c>
      <c r="E37" s="20" t="n">
        <v>2</v>
      </c>
      <c r="F37" s="21" t="inlineStr">
        <is>
          <t>56–57</t>
        </is>
      </c>
      <c r="G37" s="22" t="inlineStr">
        <is>
          <t>—</t>
        </is>
      </c>
      <c r="H37" s="15" t="inlineStr">
        <is>
          <t>—</t>
        </is>
      </c>
      <c r="I37" s="8" t="inlineStr">
        <is>
          <t>Editorial</t>
        </is>
      </c>
      <c r="J37" s="9" t="inlineStr">
        <is>
          <t>Opener (p56) facing the contents list of the twelve markets (p57)</t>
        </is>
      </c>
      <c r="K37" s="11" t="n"/>
      <c r="L37" s="11" t="n"/>
      <c r="M37" s="11" t="n"/>
      <c r="N37" s="11" t="n"/>
      <c r="O37" s="11" t="n"/>
      <c r="P37" s="11" t="n"/>
    </row>
    <row r="38" ht="26" customHeight="1" s="72">
      <c r="A38" s="8" t="n">
        <v>34</v>
      </c>
      <c r="B38" s="9" t="inlineStr">
        <is>
          <t>04 Country Profiles (GMRC)</t>
        </is>
      </c>
      <c r="C38" s="9" t="inlineStr">
        <is>
          <t>Bahrain, Egypt, Georgia</t>
        </is>
      </c>
      <c r="D38" s="29" t="inlineStr">
        <is>
          <t>🌍 Country Profile</t>
        </is>
      </c>
      <c r="E38" s="20" t="n">
        <v>2</v>
      </c>
      <c r="F38" s="21" t="inlineStr">
        <is>
          <t>58–59</t>
        </is>
      </c>
      <c r="G38" s="22" t="inlineStr">
        <is>
          <t>—</t>
        </is>
      </c>
      <c r="H38" s="15" t="inlineStr">
        <is>
          <t>—</t>
        </is>
      </c>
      <c r="I38" s="8" t="inlineStr">
        <is>
          <t>Research</t>
        </is>
      </c>
      <c r="J38" s="9" t="inlineStr">
        <is>
          <t>GMRC macro + retail indicators, refreshed annually</t>
        </is>
      </c>
      <c r="K38" s="11" t="n"/>
      <c r="L38" s="11" t="n"/>
      <c r="M38" s="11" t="n"/>
      <c r="N38" s="11" t="n"/>
      <c r="O38" s="11" t="n"/>
      <c r="P38" s="11" t="n"/>
    </row>
    <row r="39" ht="26" customHeight="1" s="72">
      <c r="A39" s="8" t="n">
        <v>35</v>
      </c>
      <c r="B39" s="9" t="inlineStr">
        <is>
          <t>04 Country Profiles (GMRC)</t>
        </is>
      </c>
      <c r="C39" s="9" t="inlineStr">
        <is>
          <t>Kazakhstan, Kenya, Kuwait</t>
        </is>
      </c>
      <c r="D39" s="29" t="inlineStr">
        <is>
          <t>🌍 Country Profile</t>
        </is>
      </c>
      <c r="E39" s="20" t="n">
        <v>2</v>
      </c>
      <c r="F39" s="21" t="inlineStr">
        <is>
          <t>60–61</t>
        </is>
      </c>
      <c r="G39" s="22" t="inlineStr">
        <is>
          <t>—</t>
        </is>
      </c>
      <c r="H39" s="15" t="inlineStr">
        <is>
          <t>—</t>
        </is>
      </c>
      <c r="I39" s="8" t="inlineStr">
        <is>
          <t>Research</t>
        </is>
      </c>
      <c r="J39" s="9" t="inlineStr">
        <is>
          <t>GMRC macro + retail indicators, refreshed annually</t>
        </is>
      </c>
      <c r="K39" s="11" t="n"/>
      <c r="L39" s="11" t="n"/>
      <c r="M39" s="11" t="n"/>
      <c r="N39" s="11" t="n"/>
      <c r="O39" s="11" t="n"/>
      <c r="P39" s="11" t="n"/>
    </row>
    <row r="40" ht="26" customHeight="1" s="72">
      <c r="A40" s="8" t="n">
        <v>36</v>
      </c>
      <c r="B40" s="9" t="inlineStr">
        <is>
          <t>04 Country Profiles (GMRC)</t>
        </is>
      </c>
      <c r="C40" s="9" t="inlineStr">
        <is>
          <t>Nigeria, Oman, Pakistan</t>
        </is>
      </c>
      <c r="D40" s="29" t="inlineStr">
        <is>
          <t>🌍 Country Profile</t>
        </is>
      </c>
      <c r="E40" s="20" t="n">
        <v>2</v>
      </c>
      <c r="F40" s="21" t="inlineStr">
        <is>
          <t>62–63</t>
        </is>
      </c>
      <c r="G40" s="22" t="inlineStr">
        <is>
          <t>—</t>
        </is>
      </c>
      <c r="H40" s="15" t="inlineStr">
        <is>
          <t>—</t>
        </is>
      </c>
      <c r="I40" s="8" t="inlineStr">
        <is>
          <t>Research</t>
        </is>
      </c>
      <c r="J40" s="9" t="inlineStr">
        <is>
          <t>GMRC macro + retail indicators, refreshed annually</t>
        </is>
      </c>
      <c r="K40" s="11" t="n"/>
      <c r="L40" s="11" t="n"/>
      <c r="M40" s="11" t="n"/>
      <c r="N40" s="11" t="n"/>
      <c r="O40" s="11" t="n"/>
      <c r="P40" s="11" t="n"/>
    </row>
    <row r="41" ht="26" customHeight="1" s="72">
      <c r="A41" s="8" t="n">
        <v>37</v>
      </c>
      <c r="B41" s="9" t="inlineStr">
        <is>
          <t>04 Country Profiles (GMRC)</t>
        </is>
      </c>
      <c r="C41" s="9" t="inlineStr">
        <is>
          <t>Tunisia, Turkiye, UAE</t>
        </is>
      </c>
      <c r="D41" s="29" t="inlineStr">
        <is>
          <t>🌍 Country Profile</t>
        </is>
      </c>
      <c r="E41" s="20" t="n">
        <v>2</v>
      </c>
      <c r="F41" s="21" t="inlineStr">
        <is>
          <t>64–65</t>
        </is>
      </c>
      <c r="G41" s="22" t="inlineStr">
        <is>
          <t>—</t>
        </is>
      </c>
      <c r="H41" s="15" t="inlineStr">
        <is>
          <t>—</t>
        </is>
      </c>
      <c r="I41" s="8" t="inlineStr">
        <is>
          <t>Research</t>
        </is>
      </c>
      <c r="J41" s="9" t="inlineStr">
        <is>
          <t>GMRC macro + retail indicators, refreshed annually</t>
        </is>
      </c>
      <c r="K41" s="11" t="n"/>
      <c r="L41" s="11" t="n"/>
      <c r="M41" s="11" t="n"/>
      <c r="N41" s="11" t="n"/>
      <c r="O41" s="11" t="n"/>
      <c r="P41" s="11" t="n"/>
    </row>
    <row r="42" ht="26" customHeight="1" s="72">
      <c r="A42" s="8" t="n">
        <v>38</v>
      </c>
      <c r="B42" s="9" t="inlineStr">
        <is>
          <t>05 Front-of-Book Ads</t>
        </is>
      </c>
      <c r="C42" s="9" t="inlineStr">
        <is>
          <t>Awards AD</t>
        </is>
      </c>
      <c r="D42" s="23" t="inlineStr">
        <is>
          <t>📢 Ad</t>
        </is>
      </c>
      <c r="E42" s="20" t="n">
        <v>1</v>
      </c>
      <c r="F42" s="21" t="inlineStr">
        <is>
          <t>66</t>
        </is>
      </c>
      <c r="G42" s="20" t="inlineStr">
        <is>
          <t>45–46</t>
        </is>
      </c>
      <c r="H42" s="15" t="inlineStr">
        <is>
          <t>—</t>
        </is>
      </c>
      <c r="I42" s="8" t="inlineStr">
        <is>
          <t>Sales / Client</t>
        </is>
      </c>
      <c r="J42" s="9" t="inlineStr">
        <is>
          <t>Full page — 66|67 and 68|69 are the two ad spreads</t>
        </is>
      </c>
      <c r="K42" s="11" t="n"/>
      <c r="L42" s="11" t="n"/>
      <c r="M42" s="11" t="n"/>
      <c r="N42" s="11" t="n"/>
      <c r="O42" s="11" t="n"/>
      <c r="P42" s="11" t="inlineStr">
        <is>
          <t>v14 sample: designed with MENA Awards 2026 photography (winners on stage).</t>
        </is>
      </c>
    </row>
    <row r="43" ht="26" customHeight="1" s="72">
      <c r="A43" s="8" t="n">
        <v>39</v>
      </c>
      <c r="B43" s="9" t="inlineStr">
        <is>
          <t>05 Front-of-Book Ads</t>
        </is>
      </c>
      <c r="C43" s="9" t="inlineStr">
        <is>
          <t>RPM AD</t>
        </is>
      </c>
      <c r="D43" s="23" t="inlineStr">
        <is>
          <t>📢 Ad</t>
        </is>
      </c>
      <c r="E43" s="20" t="n">
        <v>1</v>
      </c>
      <c r="F43" s="21" t="inlineStr">
        <is>
          <t>67</t>
        </is>
      </c>
      <c r="G43" s="22" t="inlineStr">
        <is>
          <t>—</t>
        </is>
      </c>
      <c r="H43" s="15" t="inlineStr">
        <is>
          <t>—</t>
        </is>
      </c>
      <c r="I43" s="8" t="inlineStr">
        <is>
          <t>Sales / Client</t>
        </is>
      </c>
      <c r="J43" s="9" t="inlineStr">
        <is>
          <t>Full page — 66|67 and 68|69 are the two ad spreads. Can give way to a paid single page (02 Ads: Danah Real Estate)</t>
        </is>
      </c>
      <c r="K43" s="11" t="n"/>
      <c r="L43" s="11" t="n"/>
      <c r="M43" s="11" t="n"/>
      <c r="N43" s="11" t="n"/>
      <c r="O43" s="11" t="n"/>
      <c r="P43" s="11" t="inlineStr">
        <is>
          <t>v14 sample: designed with Retail Congress MENA 2026 photography.</t>
        </is>
      </c>
    </row>
    <row r="44" ht="26" customHeight="1" s="72">
      <c r="A44" s="8" t="n">
        <v>40</v>
      </c>
      <c r="B44" s="9" t="inlineStr">
        <is>
          <t>05 Front-of-Book Ads</t>
        </is>
      </c>
      <c r="C44" s="9" t="inlineStr">
        <is>
          <t>RCM AD</t>
        </is>
      </c>
      <c r="D44" s="23" t="inlineStr">
        <is>
          <t>📢 Ad</t>
        </is>
      </c>
      <c r="E44" s="20" t="n">
        <v>1</v>
      </c>
      <c r="F44" s="21" t="inlineStr">
        <is>
          <t>68</t>
        </is>
      </c>
      <c r="G44" s="22" t="inlineStr">
        <is>
          <t>—</t>
        </is>
      </c>
      <c r="H44" s="15" t="inlineStr">
        <is>
          <t>—</t>
        </is>
      </c>
      <c r="I44" s="8" t="inlineStr">
        <is>
          <t>Sales / Client</t>
        </is>
      </c>
      <c r="J44" s="9" t="inlineStr">
        <is>
          <t>Full page — 66|67 and 68|69 are the two ad spreads</t>
        </is>
      </c>
      <c r="K44" s="11" t="n"/>
      <c r="L44" s="11" t="n"/>
      <c r="M44" s="11" t="n"/>
      <c r="N44" s="11" t="n"/>
      <c r="O44" s="11" t="n"/>
      <c r="P44" s="11" t="inlineStr">
        <is>
          <t>v14 sample: designed with Retail Congress MENA 2026 photography.</t>
        </is>
      </c>
    </row>
    <row r="45" ht="26" customHeight="1" s="72">
      <c r="A45" s="8" t="n">
        <v>41</v>
      </c>
      <c r="B45" s="9" t="inlineStr">
        <is>
          <t>05 Front-of-Book Ads</t>
        </is>
      </c>
      <c r="C45" s="9" t="inlineStr">
        <is>
          <t>GVS AD</t>
        </is>
      </c>
      <c r="D45" s="23" t="inlineStr">
        <is>
          <t>📢 Ad</t>
        </is>
      </c>
      <c r="E45" s="20" t="n">
        <v>1</v>
      </c>
      <c r="F45" s="21" t="inlineStr">
        <is>
          <t>69</t>
        </is>
      </c>
      <c r="G45" s="22" t="inlineStr">
        <is>
          <t>—</t>
        </is>
      </c>
      <c r="H45" s="15" t="inlineStr">
        <is>
          <t>—</t>
        </is>
      </c>
      <c r="I45" s="8" t="inlineStr">
        <is>
          <t>Sales / Client</t>
        </is>
      </c>
      <c r="J45" s="9" t="inlineStr">
        <is>
          <t>Full page — 66|67 and 68|69 are the two ad spreads. Can give way to a paid single page (02 Ads: Dalma Mall)</t>
        </is>
      </c>
      <c r="K45" s="11" t="n"/>
      <c r="L45" s="11" t="n"/>
      <c r="M45" s="11" t="n"/>
      <c r="N45" s="11" t="n"/>
      <c r="O45" s="11" t="n"/>
      <c r="P45" s="11" t="inlineStr">
        <is>
          <t>v14 sample: designed with Retail Congress MENA 2026 photography.</t>
        </is>
      </c>
    </row>
    <row r="46" ht="26" customHeight="1" s="72">
      <c r="A46" s="8" t="n">
        <v>42</v>
      </c>
      <c r="B46" s="9" t="inlineStr">
        <is>
          <t>06 Must-Visit Destinations</t>
        </is>
      </c>
      <c r="C46" s="9" t="inlineStr">
        <is>
          <t>Must-Visit — section opener</t>
        </is>
      </c>
      <c r="D46" s="30" t="inlineStr">
        <is>
          <t>🏬 Feature</t>
        </is>
      </c>
      <c r="E46" s="20" t="n">
        <v>1</v>
      </c>
      <c r="F46" s="21" t="inlineStr">
        <is>
          <t>70</t>
        </is>
      </c>
      <c r="G46" s="20" t="inlineStr">
        <is>
          <t>59</t>
        </is>
      </c>
      <c r="H46" s="15" t="inlineStr">
        <is>
          <t>—</t>
        </is>
      </c>
      <c r="I46" s="8" t="inlineStr">
        <is>
          <t>Editorial</t>
        </is>
      </c>
      <c r="J46" s="9" t="inlineStr">
        <is>
          <t>Selection criteria and the 2027 shortlist</t>
        </is>
      </c>
      <c r="K46" s="11" t="n"/>
      <c r="L46" s="11" t="n"/>
      <c r="M46" s="11" t="n"/>
      <c r="N46" s="11" t="n"/>
      <c r="O46" s="11" t="n"/>
      <c r="P46" s="11" t="n"/>
    </row>
    <row r="47" ht="26" customHeight="1" s="72">
      <c r="A47" s="8" t="n">
        <v>43</v>
      </c>
      <c r="B47" s="9" t="inlineStr">
        <is>
          <t>06 Must-Visit Destinations</t>
        </is>
      </c>
      <c r="C47" s="9" t="inlineStr">
        <is>
          <t>Must-Visit — UAE</t>
        </is>
      </c>
      <c r="D47" s="30" t="inlineStr">
        <is>
          <t>🏬 Feature</t>
        </is>
      </c>
      <c r="E47" s="20" t="n">
        <v>1</v>
      </c>
      <c r="F47" s="21" t="inlineStr">
        <is>
          <t>71</t>
        </is>
      </c>
      <c r="G47" s="22" t="inlineStr">
        <is>
          <t>—</t>
        </is>
      </c>
      <c r="H47" s="15" t="inlineStr">
        <is>
          <t>—</t>
        </is>
      </c>
      <c r="I47" s="8" t="inlineStr">
        <is>
          <t>Editorial</t>
        </is>
      </c>
      <c r="J47" s="9" t="inlineStr">
        <is>
          <t>Full-bleed destination page — sponsorable as 'Presented by'</t>
        </is>
      </c>
      <c r="K47" s="11" t="n"/>
      <c r="L47" s="11" t="n"/>
      <c r="M47" s="11" t="n"/>
      <c r="N47" s="11" t="n"/>
      <c r="O47" s="11" t="n"/>
      <c r="P47" s="11" t="inlineStr">
        <is>
          <t>v14 sample: MECSR Verified seal beside the centre name.</t>
        </is>
      </c>
    </row>
    <row r="48" ht="26" customHeight="1" s="72">
      <c r="A48" s="8" t="n">
        <v>44</v>
      </c>
      <c r="B48" s="9" t="inlineStr">
        <is>
          <t>06 Must-Visit Destinations</t>
        </is>
      </c>
      <c r="C48" s="9" t="inlineStr">
        <is>
          <t>Must-Visit — Saudi Arabia</t>
        </is>
      </c>
      <c r="D48" s="30" t="inlineStr">
        <is>
          <t>🏬 Feature</t>
        </is>
      </c>
      <c r="E48" s="20" t="n">
        <v>1</v>
      </c>
      <c r="F48" s="21" t="inlineStr">
        <is>
          <t>72</t>
        </is>
      </c>
      <c r="G48" s="22" t="inlineStr">
        <is>
          <t>—</t>
        </is>
      </c>
      <c r="H48" s="15" t="inlineStr">
        <is>
          <t>—</t>
        </is>
      </c>
      <c r="I48" s="8" t="inlineStr">
        <is>
          <t>Editorial</t>
        </is>
      </c>
      <c r="J48" s="9" t="inlineStr">
        <is>
          <t>Full-bleed destination page — sponsorable as 'Presented by'</t>
        </is>
      </c>
      <c r="K48" s="11" t="n"/>
      <c r="L48" s="11" t="n"/>
      <c r="M48" s="11" t="n"/>
      <c r="N48" s="11" t="n"/>
      <c r="O48" s="11" t="n"/>
      <c r="P48" s="11" t="inlineStr">
        <is>
          <t>v14 sample: MECSR Verified seal beside the centre name.</t>
        </is>
      </c>
    </row>
    <row r="49" ht="26" customHeight="1" s="72">
      <c r="A49" s="8" t="n">
        <v>45</v>
      </c>
      <c r="B49" s="9" t="inlineStr">
        <is>
          <t>06 Must-Visit Destinations</t>
        </is>
      </c>
      <c r="C49" s="9" t="inlineStr">
        <is>
          <t>Must-Visit — Kuwait</t>
        </is>
      </c>
      <c r="D49" s="30" t="inlineStr">
        <is>
          <t>🏬 Feature</t>
        </is>
      </c>
      <c r="E49" s="20" t="n">
        <v>1</v>
      </c>
      <c r="F49" s="21" t="inlineStr">
        <is>
          <t>73</t>
        </is>
      </c>
      <c r="G49" s="22" t="inlineStr">
        <is>
          <t>—</t>
        </is>
      </c>
      <c r="H49" s="15" t="inlineStr">
        <is>
          <t>—</t>
        </is>
      </c>
      <c r="I49" s="8" t="inlineStr">
        <is>
          <t>Editorial</t>
        </is>
      </c>
      <c r="J49" s="9" t="inlineStr">
        <is>
          <t>Full-bleed destination page — sponsorable as 'Presented by'</t>
        </is>
      </c>
      <c r="K49" s="11" t="n"/>
      <c r="L49" s="11" t="n"/>
      <c r="M49" s="11" t="n"/>
      <c r="N49" s="11" t="n"/>
      <c r="O49" s="11" t="n"/>
      <c r="P49" s="11" t="inlineStr">
        <is>
          <t>v14 sample: MECSR Verified seal beside the centre name.</t>
        </is>
      </c>
    </row>
    <row r="50" ht="26" customHeight="1" s="72">
      <c r="A50" s="8" t="n">
        <v>46</v>
      </c>
      <c r="B50" s="9" t="inlineStr">
        <is>
          <t>06 Must-Visit Destinations</t>
        </is>
      </c>
      <c r="C50" s="9" t="inlineStr">
        <is>
          <t>Must-Visit — Bahrain</t>
        </is>
      </c>
      <c r="D50" s="30" t="inlineStr">
        <is>
          <t>🏬 Feature</t>
        </is>
      </c>
      <c r="E50" s="20" t="n">
        <v>1</v>
      </c>
      <c r="F50" s="21" t="inlineStr">
        <is>
          <t>74</t>
        </is>
      </c>
      <c r="G50" s="22" t="inlineStr">
        <is>
          <t>—</t>
        </is>
      </c>
      <c r="H50" s="15" t="inlineStr">
        <is>
          <t>—</t>
        </is>
      </c>
      <c r="I50" s="8" t="inlineStr">
        <is>
          <t>Editorial</t>
        </is>
      </c>
      <c r="J50" s="9" t="inlineStr">
        <is>
          <t>Full-bleed destination page — sponsorable as 'Presented by'</t>
        </is>
      </c>
      <c r="K50" s="11" t="n"/>
      <c r="L50" s="11" t="n"/>
      <c r="M50" s="11" t="n"/>
      <c r="N50" s="11" t="n"/>
      <c r="O50" s="11" t="n"/>
      <c r="P50" s="11" t="inlineStr">
        <is>
          <t>v14 sample: MECSR Verified seal beside the centre name.</t>
        </is>
      </c>
    </row>
    <row r="51" ht="26" customHeight="1" s="72">
      <c r="A51" s="8" t="n">
        <v>47</v>
      </c>
      <c r="B51" s="9" t="inlineStr">
        <is>
          <t>06 Must-Visit Destinations</t>
        </is>
      </c>
      <c r="C51" s="9" t="inlineStr">
        <is>
          <t>Must-Visit — Egypt</t>
        </is>
      </c>
      <c r="D51" s="30" t="inlineStr">
        <is>
          <t>🏬 Feature</t>
        </is>
      </c>
      <c r="E51" s="20" t="n">
        <v>1</v>
      </c>
      <c r="F51" s="21" t="inlineStr">
        <is>
          <t>75</t>
        </is>
      </c>
      <c r="G51" s="22" t="inlineStr">
        <is>
          <t>—</t>
        </is>
      </c>
      <c r="H51" s="15" t="inlineStr">
        <is>
          <t>—</t>
        </is>
      </c>
      <c r="I51" s="8" t="inlineStr">
        <is>
          <t>Editorial</t>
        </is>
      </c>
      <c r="J51" s="9" t="inlineStr">
        <is>
          <t>Full-bleed destination page — sponsorable as 'Presented by'</t>
        </is>
      </c>
      <c r="K51" s="11" t="n"/>
      <c r="L51" s="11" t="n"/>
      <c r="M51" s="11" t="n"/>
      <c r="N51" s="11" t="n"/>
      <c r="O51" s="11" t="n"/>
      <c r="P51" s="11" t="inlineStr">
        <is>
          <t>v14 sample: MECSR Verified seal beside the centre name.</t>
        </is>
      </c>
    </row>
    <row r="52" ht="26" customHeight="1" s="72">
      <c r="A52" s="8" t="n">
        <v>48</v>
      </c>
      <c r="B52" s="9" t="inlineStr">
        <is>
          <t>06 Must-Visit Destinations</t>
        </is>
      </c>
      <c r="C52" s="9" t="inlineStr">
        <is>
          <t>Must-Visit — Turkiye</t>
        </is>
      </c>
      <c r="D52" s="30" t="inlineStr">
        <is>
          <t>🏬 Feature</t>
        </is>
      </c>
      <c r="E52" s="20" t="n">
        <v>1</v>
      </c>
      <c r="F52" s="21" t="inlineStr">
        <is>
          <t>76</t>
        </is>
      </c>
      <c r="G52" s="22" t="inlineStr">
        <is>
          <t>—</t>
        </is>
      </c>
      <c r="H52" s="15" t="inlineStr">
        <is>
          <t>—</t>
        </is>
      </c>
      <c r="I52" s="8" t="inlineStr">
        <is>
          <t>Editorial</t>
        </is>
      </c>
      <c r="J52" s="9" t="inlineStr">
        <is>
          <t>Full-bleed destination page — sponsorable as 'Presented by'</t>
        </is>
      </c>
      <c r="K52" s="11" t="n"/>
      <c r="L52" s="11" t="n"/>
      <c r="M52" s="11" t="n"/>
      <c r="N52" s="11" t="n"/>
      <c r="O52" s="11" t="n"/>
      <c r="P52" s="11" t="inlineStr">
        <is>
          <t>v14 sample: MECSR Verified seal beside the centre name.</t>
        </is>
      </c>
    </row>
    <row r="53" ht="26" customHeight="1" s="72">
      <c r="A53" s="8" t="n">
        <v>49</v>
      </c>
      <c r="B53" s="9" t="inlineStr">
        <is>
          <t>06 Must-Visit Destinations</t>
        </is>
      </c>
      <c r="C53" s="9" t="inlineStr">
        <is>
          <t>Must-Visit — Jordan</t>
        </is>
      </c>
      <c r="D53" s="30" t="inlineStr">
        <is>
          <t>🏬 Feature</t>
        </is>
      </c>
      <c r="E53" s="20" t="n">
        <v>1</v>
      </c>
      <c r="F53" s="21" t="inlineStr">
        <is>
          <t>77</t>
        </is>
      </c>
      <c r="G53" s="22" t="inlineStr">
        <is>
          <t>—</t>
        </is>
      </c>
      <c r="H53" s="15" t="inlineStr">
        <is>
          <t>—</t>
        </is>
      </c>
      <c r="I53" s="8" t="inlineStr">
        <is>
          <t>Editorial</t>
        </is>
      </c>
      <c r="J53" s="9" t="inlineStr">
        <is>
          <t>Full-bleed destination page — sponsorable as 'Presented by'</t>
        </is>
      </c>
      <c r="K53" s="11" t="n"/>
      <c r="L53" s="11" t="n"/>
      <c r="M53" s="11" t="n"/>
      <c r="N53" s="11" t="n"/>
      <c r="O53" s="11" t="n"/>
      <c r="P53" s="11" t="inlineStr">
        <is>
          <t>v14 sample: MECSR Verified seal beside the centre name.</t>
        </is>
      </c>
    </row>
    <row r="54" ht="26" customHeight="1" s="72">
      <c r="A54" s="8" t="n">
        <v>50</v>
      </c>
      <c r="B54" s="9" t="inlineStr">
        <is>
          <t>06 Must-Visit Destinations</t>
        </is>
      </c>
      <c r="C54" s="9" t="inlineStr">
        <is>
          <t>How to Read the Listings · Data Notes</t>
        </is>
      </c>
      <c r="D54" s="25" t="inlineStr">
        <is>
          <t>📰 Editorial</t>
        </is>
      </c>
      <c r="E54" s="20" t="n">
        <v>2</v>
      </c>
      <c r="F54" s="21" t="inlineStr">
        <is>
          <t>78–79</t>
        </is>
      </c>
      <c r="G54" s="22" t="inlineStr">
        <is>
          <t>—</t>
        </is>
      </c>
      <c r="H54" s="15" t="inlineStr">
        <is>
          <t>—</t>
        </is>
      </c>
      <c r="I54" s="8" t="inlineStr">
        <is>
          <t>Editorial</t>
        </is>
      </c>
      <c r="J54" s="9" t="inlineStr">
        <is>
          <t>Legend for Scale / Format / Characteristics (p78) facing the Data Notes page (p79): retail GLA definition, scale bands S1–S6, data markers and the corrections policy</t>
        </is>
      </c>
      <c r="K54" s="11" t="n"/>
      <c r="L54" s="11" t="n"/>
      <c r="M54" s="11" t="n"/>
      <c r="N54" s="11" t="n"/>
      <c r="O54" s="11" t="n"/>
      <c r="P54" s="11" t="inlineStr">
        <is>
          <t>v14: legend for the MECSR Verified seal added on p78.</t>
        </is>
      </c>
    </row>
    <row r="55" ht="26" customHeight="1" s="72">
      <c r="A55" s="8" t="n">
        <v>51</v>
      </c>
      <c r="B55" s="9" t="inlineStr">
        <is>
          <t>07 Mall Listings</t>
        </is>
      </c>
      <c r="C55" s="9" t="inlineStr">
        <is>
          <t>Afghanistan</t>
        </is>
      </c>
      <c r="D55" s="31" t="inlineStr">
        <is>
          <t>📋 Listing</t>
        </is>
      </c>
      <c r="E55" s="20" t="n">
        <v>3</v>
      </c>
      <c r="F55" s="21" t="inlineStr">
        <is>
          <t>80–82</t>
        </is>
      </c>
      <c r="G55" s="22" t="inlineStr">
        <is>
          <t>—</t>
        </is>
      </c>
      <c r="H55" s="9" t="inlineStr">
        <is>
          <t>3 stand-alone · 2 mixed-use</t>
        </is>
      </c>
      <c r="I55" s="8" t="inlineStr">
        <is>
          <t>Database</t>
        </is>
      </c>
      <c r="J55" s="9" t="inlineStr">
        <is>
          <t>1 country opener + 1 listing pages (9 cards/pp) + 1 mixed-use pages (6/pp)</t>
        </is>
      </c>
      <c r="K55" s="11" t="n"/>
      <c r="L55" s="11" t="n"/>
      <c r="M55" s="11" t="n"/>
      <c r="N55" s="11" t="n"/>
      <c r="O55" s="11" t="n"/>
      <c r="P55" s="11" t="n"/>
    </row>
    <row r="56" ht="26" customHeight="1" s="72">
      <c r="A56" s="8" t="n">
        <v>52</v>
      </c>
      <c r="B56" s="9" t="inlineStr">
        <is>
          <t>07 Mall Listings</t>
        </is>
      </c>
      <c r="C56" s="9" t="inlineStr">
        <is>
          <t>Algeria</t>
        </is>
      </c>
      <c r="D56" s="31" t="inlineStr">
        <is>
          <t>📋 Listing</t>
        </is>
      </c>
      <c r="E56" s="20" t="n">
        <v>3</v>
      </c>
      <c r="F56" s="21" t="inlineStr">
        <is>
          <t>83–85</t>
        </is>
      </c>
      <c r="G56" s="22" t="inlineStr">
        <is>
          <t>—</t>
        </is>
      </c>
      <c r="H56" s="9" t="inlineStr">
        <is>
          <t>14 stand-alone · 0 mixed-use</t>
        </is>
      </c>
      <c r="I56" s="8" t="inlineStr">
        <is>
          <t>Database</t>
        </is>
      </c>
      <c r="J56" s="9" t="inlineStr">
        <is>
          <t>1 country opener + 2 listing pages (9 cards/pp) + 0 mixed-use pages (6/pp)</t>
        </is>
      </c>
      <c r="K56" s="11" t="n"/>
      <c r="L56" s="11" t="n"/>
      <c r="M56" s="11" t="n"/>
      <c r="N56" s="11" t="n"/>
      <c r="O56" s="11" t="n"/>
      <c r="P56" s="11" t="n"/>
    </row>
    <row r="57" ht="26" customHeight="1" s="72">
      <c r="A57" s="8" t="n">
        <v>53</v>
      </c>
      <c r="B57" s="9" t="inlineStr">
        <is>
          <t>07 Mall Listings</t>
        </is>
      </c>
      <c r="C57" s="9" t="inlineStr">
        <is>
          <t>Armenia</t>
        </is>
      </c>
      <c r="D57" s="31" t="inlineStr">
        <is>
          <t>📋 Listing</t>
        </is>
      </c>
      <c r="E57" s="20" t="n">
        <v>2</v>
      </c>
      <c r="F57" s="21" t="inlineStr">
        <is>
          <t>86–87</t>
        </is>
      </c>
      <c r="G57" s="22" t="inlineStr">
        <is>
          <t>—</t>
        </is>
      </c>
      <c r="H57" s="9" t="inlineStr">
        <is>
          <t>7 stand-alone · 0 mixed-use</t>
        </is>
      </c>
      <c r="I57" s="8" t="inlineStr">
        <is>
          <t>Database</t>
        </is>
      </c>
      <c r="J57" s="9" t="inlineStr">
        <is>
          <t>1 country opener + 1 listing pages (9 cards/pp) + 0 mixed-use pages (6/pp)</t>
        </is>
      </c>
      <c r="K57" s="11" t="n"/>
      <c r="L57" s="11" t="n"/>
      <c r="M57" s="11" t="n"/>
      <c r="N57" s="11" t="n"/>
      <c r="O57" s="11" t="n"/>
      <c r="P57" s="11" t="n"/>
    </row>
    <row r="58" ht="26" customHeight="1" s="72">
      <c r="A58" s="8" t="n">
        <v>54</v>
      </c>
      <c r="B58" s="9" t="inlineStr">
        <is>
          <t>07 Mall Listings</t>
        </is>
      </c>
      <c r="C58" s="9" t="inlineStr">
        <is>
          <t>Azerbaijan</t>
        </is>
      </c>
      <c r="D58" s="31" t="inlineStr">
        <is>
          <t>📋 Listing</t>
        </is>
      </c>
      <c r="E58" s="20" t="n">
        <v>4</v>
      </c>
      <c r="F58" s="21" t="inlineStr">
        <is>
          <t>88–91</t>
        </is>
      </c>
      <c r="G58" s="22" t="inlineStr">
        <is>
          <t>—</t>
        </is>
      </c>
      <c r="H58" s="9" t="inlineStr">
        <is>
          <t>13 stand-alone · 3 mixed-use</t>
        </is>
      </c>
      <c r="I58" s="8" t="inlineStr">
        <is>
          <t>Database</t>
        </is>
      </c>
      <c r="J58" s="9" t="inlineStr">
        <is>
          <t>1 country opener + 2 listing pages (9 cards/pp) + 1 mixed-use pages (6/pp)</t>
        </is>
      </c>
      <c r="K58" s="11" t="n"/>
      <c r="L58" s="11" t="n"/>
      <c r="M58" s="11" t="n"/>
      <c r="N58" s="11" t="n"/>
      <c r="O58" s="11" t="n"/>
      <c r="P58" s="11" t="n"/>
    </row>
    <row r="59" ht="26" customHeight="1" s="72">
      <c r="A59" s="8" t="n">
        <v>55</v>
      </c>
      <c r="B59" s="9" t="inlineStr">
        <is>
          <t>07 Mall Listings</t>
        </is>
      </c>
      <c r="C59" s="9" t="inlineStr">
        <is>
          <t>Bahrain</t>
        </is>
      </c>
      <c r="D59" s="31" t="inlineStr">
        <is>
          <t>📋 Listing</t>
        </is>
      </c>
      <c r="E59" s="20" t="n">
        <v>8</v>
      </c>
      <c r="F59" s="21" t="inlineStr">
        <is>
          <t>92–99</t>
        </is>
      </c>
      <c r="G59" s="22" t="inlineStr">
        <is>
          <t>—</t>
        </is>
      </c>
      <c r="H59" s="9" t="inlineStr">
        <is>
          <t>38 stand-alone · 12 mixed-use</t>
        </is>
      </c>
      <c r="I59" s="8" t="inlineStr">
        <is>
          <t>Database</t>
        </is>
      </c>
      <c r="J59" s="9" t="inlineStr">
        <is>
          <t>1 country opener + 5 listing pages (9 cards/pp) + 2 mixed-use pages (6/pp) — sample book prints 4 mixed-use cards per page, so only 8 of 12 appear; see 13 Book QA</t>
        </is>
      </c>
      <c r="K59" s="11" t="n"/>
      <c r="L59" s="11" t="n"/>
      <c r="M59" s="11" t="n"/>
      <c r="N59" s="11" t="n"/>
      <c r="O59" s="11" t="n"/>
      <c r="P59" s="11" t="n"/>
    </row>
    <row r="60" ht="26" customHeight="1" s="72">
      <c r="A60" s="8" t="n">
        <v>56</v>
      </c>
      <c r="B60" s="9" t="inlineStr">
        <is>
          <t>07 Mall Listings</t>
        </is>
      </c>
      <c r="C60" s="9" t="inlineStr">
        <is>
          <t>Egypt</t>
        </is>
      </c>
      <c r="D60" s="31" t="inlineStr">
        <is>
          <t>📋 Listing</t>
        </is>
      </c>
      <c r="E60" s="20" t="n">
        <v>16</v>
      </c>
      <c r="F60" s="21" t="inlineStr">
        <is>
          <t>100–115</t>
        </is>
      </c>
      <c r="G60" s="22" t="inlineStr">
        <is>
          <t>—</t>
        </is>
      </c>
      <c r="H60" s="9" t="inlineStr">
        <is>
          <t>106 stand-alone · 15 mixed-use</t>
        </is>
      </c>
      <c r="I60" s="8" t="inlineStr">
        <is>
          <t>Database</t>
        </is>
      </c>
      <c r="J60" s="9" t="inlineStr">
        <is>
          <t>1 country opener + 12 listing pages (9 cards/pp) + 3 mixed-use pages (6/pp) — sample book prints 4 mixed-use cards per page, so only 11 of 15 appear; see 13 Book QA</t>
        </is>
      </c>
      <c r="K60" s="11" t="n"/>
      <c r="L60" s="11" t="n"/>
      <c r="M60" s="11" t="n"/>
      <c r="N60" s="11" t="n"/>
      <c r="O60" s="11" t="n"/>
      <c r="P60" s="11" t="n"/>
    </row>
    <row r="61" ht="26" customHeight="1" s="72">
      <c r="A61" s="8" t="n">
        <v>57</v>
      </c>
      <c r="B61" s="9" t="inlineStr">
        <is>
          <t>07 Mall Listings</t>
        </is>
      </c>
      <c r="C61" s="9" t="inlineStr">
        <is>
          <t>Georgia</t>
        </is>
      </c>
      <c r="D61" s="31" t="inlineStr">
        <is>
          <t>📋 Listing</t>
        </is>
      </c>
      <c r="E61" s="20" t="n">
        <v>4</v>
      </c>
      <c r="F61" s="21" t="inlineStr">
        <is>
          <t>116–119</t>
        </is>
      </c>
      <c r="G61" s="22" t="inlineStr">
        <is>
          <t>—</t>
        </is>
      </c>
      <c r="H61" s="9" t="inlineStr">
        <is>
          <t>15 stand-alone · 1 mixed-use</t>
        </is>
      </c>
      <c r="I61" s="8" t="inlineStr">
        <is>
          <t>Database</t>
        </is>
      </c>
      <c r="J61" s="9" t="inlineStr">
        <is>
          <t>1 country opener + 2 listing pages (9 cards/pp) + 1 mixed-use pages (6/pp)</t>
        </is>
      </c>
      <c r="K61" s="11" t="n"/>
      <c r="L61" s="11" t="n"/>
      <c r="M61" s="11" t="n"/>
      <c r="N61" s="11" t="n"/>
      <c r="O61" s="11" t="n"/>
      <c r="P61" s="11" t="n"/>
    </row>
    <row r="62" ht="26" customHeight="1" s="72">
      <c r="A62" s="8" t="n">
        <v>58</v>
      </c>
      <c r="B62" s="9" t="inlineStr">
        <is>
          <t>07 Mall Listings</t>
        </is>
      </c>
      <c r="C62" s="9" t="inlineStr">
        <is>
          <t>Ghana</t>
        </is>
      </c>
      <c r="D62" s="31" t="inlineStr">
        <is>
          <t>📋 Listing</t>
        </is>
      </c>
      <c r="E62" s="20" t="n">
        <v>3</v>
      </c>
      <c r="F62" s="21" t="inlineStr">
        <is>
          <t>120–122</t>
        </is>
      </c>
      <c r="G62" s="22" t="inlineStr">
        <is>
          <t>—</t>
        </is>
      </c>
      <c r="H62" s="9" t="inlineStr">
        <is>
          <t>4 stand-alone · 1 mixed-use</t>
        </is>
      </c>
      <c r="I62" s="8" t="inlineStr">
        <is>
          <t>Database</t>
        </is>
      </c>
      <c r="J62" s="9" t="inlineStr">
        <is>
          <t>1 country opener + 1 listing pages (9 cards/pp) + 1 mixed-use pages (6/pp)</t>
        </is>
      </c>
      <c r="K62" s="11" t="n"/>
      <c r="L62" s="11" t="n"/>
      <c r="M62" s="11" t="n"/>
      <c r="N62" s="11" t="n"/>
      <c r="O62" s="11" t="n"/>
      <c r="P62" s="11" t="n"/>
    </row>
    <row r="63" ht="26" customHeight="1" s="72">
      <c r="A63" s="8" t="n">
        <v>59</v>
      </c>
      <c r="B63" s="9" t="inlineStr">
        <is>
          <t>07 Mall Listings</t>
        </is>
      </c>
      <c r="C63" s="9" t="inlineStr">
        <is>
          <t>Iran</t>
        </is>
      </c>
      <c r="D63" s="31" t="inlineStr">
        <is>
          <t>📋 Listing</t>
        </is>
      </c>
      <c r="E63" s="20" t="n">
        <v>10</v>
      </c>
      <c r="F63" s="21" t="inlineStr">
        <is>
          <t>123–132</t>
        </is>
      </c>
      <c r="G63" s="22" t="inlineStr">
        <is>
          <t>—</t>
        </is>
      </c>
      <c r="H63" s="9" t="inlineStr">
        <is>
          <t>57 stand-alone · 10 mixed-use</t>
        </is>
      </c>
      <c r="I63" s="8" t="inlineStr">
        <is>
          <t>Database</t>
        </is>
      </c>
      <c r="J63" s="9" t="inlineStr">
        <is>
          <t>1 country opener + 7 listing pages (9 cards/pp) + 2 mixed-use pages (6/pp) — sample book prints 4 mixed-use cards per page, so only 8 of 10 appear; see 13 Book QA</t>
        </is>
      </c>
      <c r="K63" s="11" t="n"/>
      <c r="L63" s="11" t="n"/>
      <c r="M63" s="11" t="n"/>
      <c r="N63" s="11" t="n"/>
      <c r="O63" s="11" t="n"/>
      <c r="P63" s="11" t="n"/>
    </row>
    <row r="64" ht="26" customHeight="1" s="72">
      <c r="A64" s="8" t="n">
        <v>60</v>
      </c>
      <c r="B64" s="9" t="inlineStr">
        <is>
          <t>07 Mall Listings</t>
        </is>
      </c>
      <c r="C64" s="9" t="inlineStr">
        <is>
          <t>Iraq</t>
        </is>
      </c>
      <c r="D64" s="31" t="inlineStr">
        <is>
          <t>📋 Listing</t>
        </is>
      </c>
      <c r="E64" s="20" t="n">
        <v>5</v>
      </c>
      <c r="F64" s="21" t="inlineStr">
        <is>
          <t>133–137</t>
        </is>
      </c>
      <c r="G64" s="22" t="inlineStr">
        <is>
          <t>—</t>
        </is>
      </c>
      <c r="H64" s="9" t="inlineStr">
        <is>
          <t>19 stand-alone · 4 mixed-use</t>
        </is>
      </c>
      <c r="I64" s="8" t="inlineStr">
        <is>
          <t>Database</t>
        </is>
      </c>
      <c r="J64" s="9" t="inlineStr">
        <is>
          <t>1 country opener + 3 listing pages (9 cards/pp) + 1 mixed-use pages (6/pp)</t>
        </is>
      </c>
      <c r="K64" s="11" t="n"/>
      <c r="L64" s="11" t="n"/>
      <c r="M64" s="11" t="n"/>
      <c r="N64" s="11" t="n"/>
      <c r="O64" s="11" t="n"/>
      <c r="P64" s="11" t="n"/>
    </row>
    <row r="65" ht="26" customHeight="1" s="72">
      <c r="A65" s="8" t="n">
        <v>61</v>
      </c>
      <c r="B65" s="9" t="inlineStr">
        <is>
          <t>07 Mall Listings</t>
        </is>
      </c>
      <c r="C65" s="9" t="inlineStr">
        <is>
          <t>Jordan</t>
        </is>
      </c>
      <c r="D65" s="31" t="inlineStr">
        <is>
          <t>📋 Listing</t>
        </is>
      </c>
      <c r="E65" s="20" t="n">
        <v>5</v>
      </c>
      <c r="F65" s="21" t="inlineStr">
        <is>
          <t>138–142</t>
        </is>
      </c>
      <c r="G65" s="22" t="inlineStr">
        <is>
          <t>—</t>
        </is>
      </c>
      <c r="H65" s="9" t="inlineStr">
        <is>
          <t>21 stand-alone · 4 mixed-use</t>
        </is>
      </c>
      <c r="I65" s="8" t="inlineStr">
        <is>
          <t>Database</t>
        </is>
      </c>
      <c r="J65" s="9" t="inlineStr">
        <is>
          <t>1 country opener + 3 listing pages (9 cards/pp) + 1 mixed-use pages (6/pp)</t>
        </is>
      </c>
      <c r="K65" s="11" t="n"/>
      <c r="L65" s="11" t="n"/>
      <c r="M65" s="11" t="n"/>
      <c r="N65" s="11" t="n"/>
      <c r="O65" s="11" t="n"/>
      <c r="P65" s="11" t="n"/>
    </row>
    <row r="66" ht="26" customHeight="1" s="72">
      <c r="A66" s="8" t="n">
        <v>62</v>
      </c>
      <c r="B66" s="9" t="inlineStr">
        <is>
          <t>07 Mall Listings</t>
        </is>
      </c>
      <c r="C66" s="9" t="inlineStr">
        <is>
          <t>Kazakhstan</t>
        </is>
      </c>
      <c r="D66" s="31" t="inlineStr">
        <is>
          <t>📋 Listing</t>
        </is>
      </c>
      <c r="E66" s="20" t="n">
        <v>6</v>
      </c>
      <c r="F66" s="21" t="inlineStr">
        <is>
          <t>143–148</t>
        </is>
      </c>
      <c r="G66" s="22" t="inlineStr">
        <is>
          <t>—</t>
        </is>
      </c>
      <c r="H66" s="9" t="inlineStr">
        <is>
          <t>34 stand-alone · 1 mixed-use</t>
        </is>
      </c>
      <c r="I66" s="8" t="inlineStr">
        <is>
          <t>Database</t>
        </is>
      </c>
      <c r="J66" s="9" t="inlineStr">
        <is>
          <t>1 country opener + 4 listing pages (9 cards/pp) + 1 mixed-use pages (6/pp)</t>
        </is>
      </c>
      <c r="K66" s="11" t="n"/>
      <c r="L66" s="11" t="n"/>
      <c r="M66" s="11" t="n"/>
      <c r="N66" s="11" t="n"/>
      <c r="O66" s="11" t="n"/>
      <c r="P66" s="11" t="n"/>
    </row>
    <row r="67" ht="26" customHeight="1" s="72">
      <c r="A67" s="8" t="n">
        <v>63</v>
      </c>
      <c r="B67" s="9" t="inlineStr">
        <is>
          <t>07 Mall Listings</t>
        </is>
      </c>
      <c r="C67" s="9" t="inlineStr">
        <is>
          <t>Kenya</t>
        </is>
      </c>
      <c r="D67" s="31" t="inlineStr">
        <is>
          <t>📋 Listing</t>
        </is>
      </c>
      <c r="E67" s="20" t="n">
        <v>2</v>
      </c>
      <c r="F67" s="21" t="inlineStr">
        <is>
          <t>149–150</t>
        </is>
      </c>
      <c r="G67" s="22" t="inlineStr">
        <is>
          <t>—</t>
        </is>
      </c>
      <c r="H67" s="9" t="inlineStr">
        <is>
          <t>1 stand-alone · 0 mixed-use</t>
        </is>
      </c>
      <c r="I67" s="8" t="inlineStr">
        <is>
          <t>Database</t>
        </is>
      </c>
      <c r="J67" s="9" t="inlineStr">
        <is>
          <t>1 country opener + 1 listing pages (9 cards/pp) + 0 mixed-use pages (6/pp)</t>
        </is>
      </c>
      <c r="K67" s="11" t="n"/>
      <c r="L67" s="11" t="n"/>
      <c r="M67" s="11" t="n"/>
      <c r="N67" s="11" t="n"/>
      <c r="O67" s="11" t="n"/>
      <c r="P67" s="11" t="n"/>
    </row>
    <row r="68" ht="26" customHeight="1" s="72">
      <c r="A68" s="8" t="n">
        <v>64</v>
      </c>
      <c r="B68" s="9" t="inlineStr">
        <is>
          <t>07 Mall Listings</t>
        </is>
      </c>
      <c r="C68" s="9" t="inlineStr">
        <is>
          <t>Kuwait</t>
        </is>
      </c>
      <c r="D68" s="31" t="inlineStr">
        <is>
          <t>📋 Listing</t>
        </is>
      </c>
      <c r="E68" s="20" t="n">
        <v>12</v>
      </c>
      <c r="F68" s="21" t="inlineStr">
        <is>
          <t>151–162</t>
        </is>
      </c>
      <c r="G68" s="22" t="inlineStr">
        <is>
          <t>—</t>
        </is>
      </c>
      <c r="H68" s="9" t="inlineStr">
        <is>
          <t>64 stand-alone · 16 mixed-use</t>
        </is>
      </c>
      <c r="I68" s="8" t="inlineStr">
        <is>
          <t>Database</t>
        </is>
      </c>
      <c r="J68" s="9" t="inlineStr">
        <is>
          <t>1 country opener + 8 listing pages (9 cards/pp) + 3 mixed-use pages (6/pp) — sample book prints 4 mixed-use cards per page, so only 12 of 16 appear; see 13 Book QA</t>
        </is>
      </c>
      <c r="K68" s="11" t="n"/>
      <c r="L68" s="11" t="n"/>
      <c r="M68" s="11" t="n"/>
      <c r="N68" s="11" t="n"/>
      <c r="O68" s="11" t="n"/>
      <c r="P68" s="11" t="n"/>
    </row>
    <row r="69" ht="26" customHeight="1" s="72">
      <c r="A69" s="8" t="n">
        <v>65</v>
      </c>
      <c r="B69" s="9" t="inlineStr">
        <is>
          <t>07 Mall Listings</t>
        </is>
      </c>
      <c r="C69" s="9" t="inlineStr">
        <is>
          <t>Kyrgyzstan</t>
        </is>
      </c>
      <c r="D69" s="31" t="inlineStr">
        <is>
          <t>📋 Listing</t>
        </is>
      </c>
      <c r="E69" s="20" t="n">
        <v>3</v>
      </c>
      <c r="F69" s="21" t="inlineStr">
        <is>
          <t>163–165</t>
        </is>
      </c>
      <c r="G69" s="22" t="inlineStr">
        <is>
          <t>—</t>
        </is>
      </c>
      <c r="H69" s="9" t="inlineStr">
        <is>
          <t>2 stand-alone · 2 mixed-use</t>
        </is>
      </c>
      <c r="I69" s="8" t="inlineStr">
        <is>
          <t>Database</t>
        </is>
      </c>
      <c r="J69" s="9" t="inlineStr">
        <is>
          <t>1 country opener + 1 listing pages (9 cards/pp) + 1 mixed-use pages (6/pp)</t>
        </is>
      </c>
      <c r="K69" s="11" t="n"/>
      <c r="L69" s="11" t="n"/>
      <c r="M69" s="11" t="n"/>
      <c r="N69" s="11" t="n"/>
      <c r="O69" s="11" t="n"/>
      <c r="P69" s="11" t="n"/>
    </row>
    <row r="70" ht="26" customHeight="1" s="72">
      <c r="A70" s="8" t="n">
        <v>66</v>
      </c>
      <c r="B70" s="9" t="inlineStr">
        <is>
          <t>07 Mall Listings</t>
        </is>
      </c>
      <c r="C70" s="9" t="inlineStr">
        <is>
          <t>Lebanon</t>
        </is>
      </c>
      <c r="D70" s="31" t="inlineStr">
        <is>
          <t>📋 Listing</t>
        </is>
      </c>
      <c r="E70" s="20" t="n">
        <v>6</v>
      </c>
      <c r="F70" s="21" t="inlineStr">
        <is>
          <t>166–171</t>
        </is>
      </c>
      <c r="G70" s="22" t="inlineStr">
        <is>
          <t>—</t>
        </is>
      </c>
      <c r="H70" s="9" t="inlineStr">
        <is>
          <t>32 stand-alone · 1 mixed-use</t>
        </is>
      </c>
      <c r="I70" s="8" t="inlineStr">
        <is>
          <t>Database</t>
        </is>
      </c>
      <c r="J70" s="9" t="inlineStr">
        <is>
          <t>1 country opener + 4 listing pages (9 cards/pp) + 1 mixed-use pages (6/pp)</t>
        </is>
      </c>
      <c r="K70" s="11" t="n"/>
      <c r="L70" s="11" t="n"/>
      <c r="M70" s="11" t="n"/>
      <c r="N70" s="11" t="n"/>
      <c r="O70" s="11" t="n"/>
      <c r="P70" s="11" t="n"/>
    </row>
    <row r="71" ht="26" customHeight="1" s="72">
      <c r="A71" s="8" t="n">
        <v>67</v>
      </c>
      <c r="B71" s="9" t="inlineStr">
        <is>
          <t>07 Mall Listings</t>
        </is>
      </c>
      <c r="C71" s="9" t="inlineStr">
        <is>
          <t>Libya</t>
        </is>
      </c>
      <c r="D71" s="31" t="inlineStr">
        <is>
          <t>📋 Listing</t>
        </is>
      </c>
      <c r="E71" s="20" t="n">
        <v>2</v>
      </c>
      <c r="F71" s="21" t="inlineStr">
        <is>
          <t>172–173</t>
        </is>
      </c>
      <c r="G71" s="22" t="inlineStr">
        <is>
          <t>—</t>
        </is>
      </c>
      <c r="H71" s="9" t="inlineStr">
        <is>
          <t>5 stand-alone · 0 mixed-use</t>
        </is>
      </c>
      <c r="I71" s="8" t="inlineStr">
        <is>
          <t>Database</t>
        </is>
      </c>
      <c r="J71" s="9" t="inlineStr">
        <is>
          <t>1 country opener + 1 listing pages (9 cards/pp) + 0 mixed-use pages (6/pp)</t>
        </is>
      </c>
      <c r="K71" s="11" t="n"/>
      <c r="L71" s="11" t="n"/>
      <c r="M71" s="11" t="n"/>
      <c r="N71" s="11" t="n"/>
      <c r="O71" s="11" t="n"/>
      <c r="P71" s="11" t="n"/>
    </row>
    <row r="72" ht="26" customHeight="1" s="72">
      <c r="A72" s="8" t="n">
        <v>68</v>
      </c>
      <c r="B72" s="9" t="inlineStr">
        <is>
          <t>07 Mall Listings</t>
        </is>
      </c>
      <c r="C72" s="9" t="inlineStr">
        <is>
          <t>Morocco</t>
        </is>
      </c>
      <c r="D72" s="31" t="inlineStr">
        <is>
          <t>📋 Listing</t>
        </is>
      </c>
      <c r="E72" s="20" t="n">
        <v>5</v>
      </c>
      <c r="F72" s="21" t="inlineStr">
        <is>
          <t>174–178</t>
        </is>
      </c>
      <c r="G72" s="22" t="inlineStr">
        <is>
          <t>—</t>
        </is>
      </c>
      <c r="H72" s="9" t="inlineStr">
        <is>
          <t>19 stand-alone · 5 mixed-use</t>
        </is>
      </c>
      <c r="I72" s="8" t="inlineStr">
        <is>
          <t>Database</t>
        </is>
      </c>
      <c r="J72" s="9" t="inlineStr">
        <is>
          <t>1 country opener + 3 listing pages (9 cards/pp) + 1 mixed-use pages (6/pp) — sample book prints 4 mixed-use cards per page, so only 4 of 5 appear; see 13 Book QA</t>
        </is>
      </c>
      <c r="K72" s="11" t="n"/>
      <c r="L72" s="11" t="n"/>
      <c r="M72" s="11" t="n"/>
      <c r="N72" s="11" t="n"/>
      <c r="O72" s="11" t="n"/>
      <c r="P72" s="11" t="n"/>
    </row>
    <row r="73" ht="26" customHeight="1" s="72">
      <c r="A73" s="8" t="n">
        <v>69</v>
      </c>
      <c r="B73" s="9" t="inlineStr">
        <is>
          <t>07 Mall Listings</t>
        </is>
      </c>
      <c r="C73" s="9" t="inlineStr">
        <is>
          <t>Nigeria</t>
        </is>
      </c>
      <c r="D73" s="31" t="inlineStr">
        <is>
          <t>📋 Listing</t>
        </is>
      </c>
      <c r="E73" s="20" t="n">
        <v>5</v>
      </c>
      <c r="F73" s="21" t="inlineStr">
        <is>
          <t>179–183</t>
        </is>
      </c>
      <c r="G73" s="22" t="inlineStr">
        <is>
          <t>—</t>
        </is>
      </c>
      <c r="H73" s="9" t="inlineStr">
        <is>
          <t>26 stand-alone · 1 mixed-use</t>
        </is>
      </c>
      <c r="I73" s="8" t="inlineStr">
        <is>
          <t>Database</t>
        </is>
      </c>
      <c r="J73" s="9" t="inlineStr">
        <is>
          <t>1 country opener + 3 listing pages (9 cards/pp) + 1 mixed-use pages (6/pp)</t>
        </is>
      </c>
      <c r="K73" s="11" t="n"/>
      <c r="L73" s="11" t="n"/>
      <c r="M73" s="11" t="n"/>
      <c r="N73" s="11" t="n"/>
      <c r="O73" s="11" t="n"/>
      <c r="P73" s="11" t="n"/>
    </row>
    <row r="74" ht="26" customHeight="1" s="72">
      <c r="A74" s="8" t="n">
        <v>70</v>
      </c>
      <c r="B74" s="9" t="inlineStr">
        <is>
          <t>07 Mall Listings</t>
        </is>
      </c>
      <c r="C74" s="9" t="inlineStr">
        <is>
          <t>Oman</t>
        </is>
      </c>
      <c r="D74" s="31" t="inlineStr">
        <is>
          <t>📋 Listing</t>
        </is>
      </c>
      <c r="E74" s="20" t="n">
        <v>8</v>
      </c>
      <c r="F74" s="21" t="inlineStr">
        <is>
          <t>184–191</t>
        </is>
      </c>
      <c r="G74" s="22" t="inlineStr">
        <is>
          <t>—</t>
        </is>
      </c>
      <c r="H74" s="9" t="inlineStr">
        <is>
          <t>51 stand-alone · 5 mixed-use</t>
        </is>
      </c>
      <c r="I74" s="8" t="inlineStr">
        <is>
          <t>Database</t>
        </is>
      </c>
      <c r="J74" s="9" t="inlineStr">
        <is>
          <t>1 country opener + 6 listing pages (9 cards/pp) + 1 mixed-use pages (6/pp) — sample book prints 4 mixed-use cards per page, so only 4 of 5 appear; see 13 Book QA</t>
        </is>
      </c>
      <c r="K74" s="11" t="n"/>
      <c r="L74" s="11" t="n"/>
      <c r="M74" s="11" t="n"/>
      <c r="N74" s="11" t="n"/>
      <c r="O74" s="11" t="n"/>
      <c r="P74" s="11" t="n"/>
    </row>
    <row r="75" ht="26" customHeight="1" s="72">
      <c r="A75" s="8" t="n">
        <v>71</v>
      </c>
      <c r="B75" s="9" t="inlineStr">
        <is>
          <t>07 Mall Listings</t>
        </is>
      </c>
      <c r="C75" s="9" t="inlineStr">
        <is>
          <t>Pakistan</t>
        </is>
      </c>
      <c r="D75" s="31" t="inlineStr">
        <is>
          <t>📋 Listing</t>
        </is>
      </c>
      <c r="E75" s="20" t="n">
        <v>8</v>
      </c>
      <c r="F75" s="21" t="inlineStr">
        <is>
          <t>192–199</t>
        </is>
      </c>
      <c r="G75" s="22" t="inlineStr">
        <is>
          <t>—</t>
        </is>
      </c>
      <c r="H75" s="9" t="inlineStr">
        <is>
          <t>42 stand-alone · 8 mixed-use</t>
        </is>
      </c>
      <c r="I75" s="8" t="inlineStr">
        <is>
          <t>Database</t>
        </is>
      </c>
      <c r="J75" s="9" t="inlineStr">
        <is>
          <t>1 country opener + 5 listing pages (9 cards/pp) + 2 mixed-use pages (6/pp) — sample book prints 4 mixed-use cards per page, so only 6 of 8 appear; see 13 Book QA</t>
        </is>
      </c>
      <c r="K75" s="11" t="n"/>
      <c r="L75" s="11" t="n"/>
      <c r="M75" s="11" t="n"/>
      <c r="N75" s="11" t="n"/>
      <c r="O75" s="11" t="n"/>
      <c r="P75" s="11" t="n"/>
    </row>
    <row r="76" ht="26" customHeight="1" s="72">
      <c r="A76" s="8" t="n">
        <v>72</v>
      </c>
      <c r="B76" s="9" t="inlineStr">
        <is>
          <t>07 Mall Listings</t>
        </is>
      </c>
      <c r="C76" s="9" t="inlineStr">
        <is>
          <t>Qatar</t>
        </is>
      </c>
      <c r="D76" s="31" t="inlineStr">
        <is>
          <t>📋 Listing</t>
        </is>
      </c>
      <c r="E76" s="20" t="n">
        <v>6</v>
      </c>
      <c r="F76" s="21" t="inlineStr">
        <is>
          <t>200–205</t>
        </is>
      </c>
      <c r="G76" s="22" t="inlineStr">
        <is>
          <t>—</t>
        </is>
      </c>
      <c r="H76" s="9" t="inlineStr">
        <is>
          <t>29 stand-alone · 4 mixed-use</t>
        </is>
      </c>
      <c r="I76" s="8" t="inlineStr">
        <is>
          <t>Database</t>
        </is>
      </c>
      <c r="J76" s="9" t="inlineStr">
        <is>
          <t>1 country opener + 4 listing pages (9 cards/pp) + 1 mixed-use pages (6/pp)</t>
        </is>
      </c>
      <c r="K76" s="11" t="n"/>
      <c r="L76" s="11" t="n"/>
      <c r="M76" s="11" t="n"/>
      <c r="N76" s="11" t="n"/>
      <c r="O76" s="11" t="n"/>
      <c r="P76" s="11" t="n"/>
    </row>
    <row r="77" ht="26" customHeight="1" s="72">
      <c r="A77" s="8" t="n">
        <v>73</v>
      </c>
      <c r="B77" s="9" t="inlineStr">
        <is>
          <t>07 Mall Listings</t>
        </is>
      </c>
      <c r="C77" s="9" t="inlineStr">
        <is>
          <t>Saudi Arabia</t>
        </is>
      </c>
      <c r="D77" s="31" t="inlineStr">
        <is>
          <t>📋 Listing</t>
        </is>
      </c>
      <c r="E77" s="20" t="n">
        <v>32</v>
      </c>
      <c r="F77" s="21" t="inlineStr">
        <is>
          <t>206–237</t>
        </is>
      </c>
      <c r="G77" s="20" t="inlineStr">
        <is>
          <t>285–288</t>
        </is>
      </c>
      <c r="H77" s="9" t="inlineStr">
        <is>
          <t>219 stand-alone · 35 mixed-use</t>
        </is>
      </c>
      <c r="I77" s="8" t="inlineStr">
        <is>
          <t>Database</t>
        </is>
      </c>
      <c r="J77" s="9" t="inlineStr">
        <is>
          <t>1 country opener + 25 listing pages (9 cards/pp) + 6 mixed-use pages (6/pp) — sample book prints 4 mixed-use cards per page, so only 24 of 35 appear; see 13 Book QA</t>
        </is>
      </c>
      <c r="K77" s="11" t="n"/>
      <c r="L77" s="11" t="n"/>
      <c r="M77" s="11" t="n"/>
      <c r="N77" s="11" t="n"/>
      <c r="O77" s="11" t="n"/>
      <c r="P77" s="11" t="n"/>
    </row>
    <row r="78" ht="26" customHeight="1" s="72">
      <c r="A78" s="8" t="n">
        <v>74</v>
      </c>
      <c r="B78" s="9" t="inlineStr">
        <is>
          <t>07 Mall Listings</t>
        </is>
      </c>
      <c r="C78" s="9" t="inlineStr">
        <is>
          <t>Sudan</t>
        </is>
      </c>
      <c r="D78" s="31" t="inlineStr">
        <is>
          <t>📋 Listing</t>
        </is>
      </c>
      <c r="E78" s="20" t="n">
        <v>3</v>
      </c>
      <c r="F78" s="21" t="inlineStr">
        <is>
          <t>238–240</t>
        </is>
      </c>
      <c r="G78" s="22" t="inlineStr">
        <is>
          <t>—</t>
        </is>
      </c>
      <c r="H78" s="9" t="inlineStr">
        <is>
          <t>1 stand-alone · 1 mixed-use</t>
        </is>
      </c>
      <c r="I78" s="8" t="inlineStr">
        <is>
          <t>Database</t>
        </is>
      </c>
      <c r="J78" s="9" t="inlineStr">
        <is>
          <t>1 country opener + 1 listing pages (9 cards/pp) + 1 mixed-use pages (6/pp)</t>
        </is>
      </c>
      <c r="K78" s="11" t="n"/>
      <c r="L78" s="11" t="n"/>
      <c r="M78" s="11" t="n"/>
      <c r="N78" s="11" t="n"/>
      <c r="O78" s="11" t="n"/>
      <c r="P78" s="11" t="n"/>
    </row>
    <row r="79" ht="26" customHeight="1" s="72">
      <c r="A79" s="8" t="n">
        <v>75</v>
      </c>
      <c r="B79" s="9" t="inlineStr">
        <is>
          <t>07 Mall Listings</t>
        </is>
      </c>
      <c r="C79" s="9" t="inlineStr">
        <is>
          <t>Syria</t>
        </is>
      </c>
      <c r="D79" s="31" t="inlineStr">
        <is>
          <t>📋 Listing</t>
        </is>
      </c>
      <c r="E79" s="20" t="n">
        <v>2</v>
      </c>
      <c r="F79" s="21" t="inlineStr">
        <is>
          <t>241–242</t>
        </is>
      </c>
      <c r="G79" s="22" t="inlineStr">
        <is>
          <t>—</t>
        </is>
      </c>
      <c r="H79" s="9" t="inlineStr">
        <is>
          <t>2 stand-alone · 0 mixed-use</t>
        </is>
      </c>
      <c r="I79" s="8" t="inlineStr">
        <is>
          <t>Database</t>
        </is>
      </c>
      <c r="J79" s="9" t="inlineStr">
        <is>
          <t>1 country opener + 1 listing pages (9 cards/pp) + 0 mixed-use pages (6/pp)</t>
        </is>
      </c>
      <c r="K79" s="11" t="n"/>
      <c r="L79" s="11" t="n"/>
      <c r="M79" s="11" t="n"/>
      <c r="N79" s="11" t="n"/>
      <c r="O79" s="11" t="n"/>
      <c r="P79" s="11" t="n"/>
    </row>
    <row r="80" ht="26" customHeight="1" s="72">
      <c r="A80" s="8" t="n">
        <v>76</v>
      </c>
      <c r="B80" s="9" t="inlineStr">
        <is>
          <t>07 Mall Listings</t>
        </is>
      </c>
      <c r="C80" s="9" t="inlineStr">
        <is>
          <t>Tunisia</t>
        </is>
      </c>
      <c r="D80" s="31" t="inlineStr">
        <is>
          <t>📋 Listing</t>
        </is>
      </c>
      <c r="E80" s="20" t="n">
        <v>2</v>
      </c>
      <c r="F80" s="21" t="inlineStr">
        <is>
          <t>243–244</t>
        </is>
      </c>
      <c r="G80" s="22" t="inlineStr">
        <is>
          <t>—</t>
        </is>
      </c>
      <c r="H80" s="9" t="inlineStr">
        <is>
          <t>6 stand-alone · 0 mixed-use</t>
        </is>
      </c>
      <c r="I80" s="8" t="inlineStr">
        <is>
          <t>Database</t>
        </is>
      </c>
      <c r="J80" s="9" t="inlineStr">
        <is>
          <t>1 country opener + 1 listing pages (9 cards/pp) + 0 mixed-use pages (6/pp)</t>
        </is>
      </c>
      <c r="K80" s="11" t="n"/>
      <c r="L80" s="11" t="n"/>
      <c r="M80" s="11" t="n"/>
      <c r="N80" s="11" t="n"/>
      <c r="O80" s="11" t="n"/>
      <c r="P80" s="11" t="n"/>
    </row>
    <row r="81" ht="26" customHeight="1" s="72">
      <c r="A81" s="8" t="n">
        <v>77</v>
      </c>
      <c r="B81" s="9" t="inlineStr">
        <is>
          <t>07 Mall Listings</t>
        </is>
      </c>
      <c r="C81" s="9" t="inlineStr">
        <is>
          <t>Turkiye</t>
        </is>
      </c>
      <c r="D81" s="31" t="inlineStr">
        <is>
          <t>📋 Listing</t>
        </is>
      </c>
      <c r="E81" s="20" t="n">
        <v>16</v>
      </c>
      <c r="F81" s="21" t="inlineStr">
        <is>
          <t>245–260</t>
        </is>
      </c>
      <c r="G81" s="22" t="inlineStr">
        <is>
          <t>—</t>
        </is>
      </c>
      <c r="H81" s="9" t="inlineStr">
        <is>
          <t>124 stand-alone · 3 mixed-use</t>
        </is>
      </c>
      <c r="I81" s="8" t="inlineStr">
        <is>
          <t>Database</t>
        </is>
      </c>
      <c r="J81" s="9" t="inlineStr">
        <is>
          <t>1 country opener + 14 listing pages (9 cards/pp) + 1 mixed-use pages (6/pp)</t>
        </is>
      </c>
      <c r="K81" s="11" t="n"/>
      <c r="L81" s="11" t="n"/>
      <c r="M81" s="11" t="n"/>
      <c r="N81" s="11" t="n"/>
      <c r="O81" s="11" t="n"/>
      <c r="P81" s="11" t="n"/>
    </row>
    <row r="82" ht="26" customHeight="1" s="72">
      <c r="A82" s="8" t="n">
        <v>78</v>
      </c>
      <c r="B82" s="9" t="inlineStr">
        <is>
          <t>07 Mall Listings</t>
        </is>
      </c>
      <c r="C82" s="9" t="inlineStr">
        <is>
          <t>UAE</t>
        </is>
      </c>
      <c r="D82" s="31" t="inlineStr">
        <is>
          <t>📋 Listing</t>
        </is>
      </c>
      <c r="E82" s="20" t="n">
        <v>35</v>
      </c>
      <c r="F82" s="21" t="inlineStr">
        <is>
          <t>261–295</t>
        </is>
      </c>
      <c r="G82" s="20" t="inlineStr">
        <is>
          <t>289–292</t>
        </is>
      </c>
      <c r="H82" s="9" t="inlineStr">
        <is>
          <t>237 stand-alone · 37 mixed-use</t>
        </is>
      </c>
      <c r="I82" s="8" t="inlineStr">
        <is>
          <t>Database</t>
        </is>
      </c>
      <c r="J82" s="9" t="inlineStr">
        <is>
          <t>1 country opener + 27 listing pages (9 cards/pp) + 7 mixed-use pages (6/pp) — sample book prints 4 mixed-use cards per page, so only 25 of 37 appear; see 13 Book QA</t>
        </is>
      </c>
      <c r="K82" s="11" t="n"/>
      <c r="L82" s="11" t="n"/>
      <c r="M82" s="11" t="n"/>
      <c r="N82" s="11" t="n"/>
      <c r="O82" s="11" t="n"/>
      <c r="P82" s="11" t="n"/>
    </row>
    <row r="83" ht="26" customHeight="1" s="72">
      <c r="A83" s="8" t="n">
        <v>79</v>
      </c>
      <c r="B83" s="9" t="inlineStr">
        <is>
          <t>07 Mall Listings</t>
        </is>
      </c>
      <c r="C83" s="9" t="inlineStr">
        <is>
          <t>Uzbekistan</t>
        </is>
      </c>
      <c r="D83" s="31" t="inlineStr">
        <is>
          <t>📋 Listing</t>
        </is>
      </c>
      <c r="E83" s="20" t="n">
        <v>3</v>
      </c>
      <c r="F83" s="21" t="inlineStr">
        <is>
          <t>296–298</t>
        </is>
      </c>
      <c r="G83" s="22" t="inlineStr">
        <is>
          <t>—</t>
        </is>
      </c>
      <c r="H83" s="9" t="inlineStr">
        <is>
          <t>10 stand-alone · 0 mixed-use</t>
        </is>
      </c>
      <c r="I83" s="8" t="inlineStr">
        <is>
          <t>Database</t>
        </is>
      </c>
      <c r="J83" s="9" t="inlineStr">
        <is>
          <t>1 country opener + 2 listing pages (9 cards/pp) + 0 mixed-use pages (6/pp)</t>
        </is>
      </c>
      <c r="K83" s="11" t="n"/>
      <c r="L83" s="11" t="n"/>
      <c r="M83" s="11" t="n"/>
      <c r="N83" s="11" t="n"/>
      <c r="O83" s="11" t="n"/>
      <c r="P83" s="11" t="n"/>
    </row>
    <row r="84" ht="26" customHeight="1" s="72">
      <c r="A84" s="8" t="n">
        <v>80</v>
      </c>
      <c r="B84" s="9" t="inlineStr">
        <is>
          <t>07 Mall Listings</t>
        </is>
      </c>
      <c r="C84" s="9" t="inlineStr">
        <is>
          <t>Yemen</t>
        </is>
      </c>
      <c r="D84" s="31" t="inlineStr">
        <is>
          <t>📋 Listing</t>
        </is>
      </c>
      <c r="E84" s="20" t="n">
        <v>2</v>
      </c>
      <c r="F84" s="21" t="inlineStr">
        <is>
          <t>299–300</t>
        </is>
      </c>
      <c r="G84" s="22" t="inlineStr">
        <is>
          <t>—</t>
        </is>
      </c>
      <c r="H84" s="9" t="inlineStr">
        <is>
          <t>4 stand-alone · 0 mixed-use</t>
        </is>
      </c>
      <c r="I84" s="8" t="inlineStr">
        <is>
          <t>Database</t>
        </is>
      </c>
      <c r="J84" s="9" t="inlineStr">
        <is>
          <t>1 country opener + 1 listing pages (9 cards/pp) + 0 mixed-use pages (6/pp)</t>
        </is>
      </c>
      <c r="K84" s="11" t="n"/>
      <c r="L84" s="11" t="n"/>
      <c r="M84" s="11" t="n"/>
      <c r="N84" s="11" t="n"/>
      <c r="O84" s="11" t="n"/>
      <c r="P84" s="11" t="n"/>
    </row>
    <row r="85" ht="26" customHeight="1" s="72">
      <c r="A85" s="8" t="n">
        <v>81</v>
      </c>
      <c r="B85" s="9" t="inlineStr">
        <is>
          <t>07 Mall Listings</t>
        </is>
      </c>
      <c r="C85" s="9" t="inlineStr">
        <is>
          <t>Zambia</t>
        </is>
      </c>
      <c r="D85" s="31" t="inlineStr">
        <is>
          <t>📋 Listing</t>
        </is>
      </c>
      <c r="E85" s="20" t="n">
        <v>2</v>
      </c>
      <c r="F85" s="21" t="inlineStr">
        <is>
          <t>301–302</t>
        </is>
      </c>
      <c r="G85" s="22" t="inlineStr">
        <is>
          <t>—</t>
        </is>
      </c>
      <c r="H85" s="9" t="inlineStr">
        <is>
          <t>1 stand-alone · 0 mixed-use</t>
        </is>
      </c>
      <c r="I85" s="8" t="inlineStr">
        <is>
          <t>Database</t>
        </is>
      </c>
      <c r="J85" s="9" t="inlineStr">
        <is>
          <t>1 country opener + 1 listing pages (9 cards/pp) + 0 mixed-use pages (6/pp)</t>
        </is>
      </c>
      <c r="K85" s="11" t="n"/>
      <c r="L85" s="11" t="n"/>
      <c r="M85" s="11" t="n"/>
      <c r="N85" s="11" t="n"/>
      <c r="O85" s="11" t="n"/>
      <c r="P85" s="11" t="n"/>
    </row>
    <row r="86" ht="26" customHeight="1" s="72">
      <c r="A86" s="8" t="n">
        <v>82</v>
      </c>
      <c r="B86" s="9" t="inlineStr">
        <is>
          <t>08 Retail Brands</t>
        </is>
      </c>
      <c r="C86" s="9" t="inlineStr">
        <is>
          <t>Retail brands by category</t>
        </is>
      </c>
      <c r="D86" s="31" t="inlineStr">
        <is>
          <t>📋 Listing</t>
        </is>
      </c>
      <c r="E86" s="20" t="n">
        <v>27</v>
      </c>
      <c r="F86" s="21" t="inlineStr">
        <is>
          <t>303–329</t>
        </is>
      </c>
      <c r="G86" s="22" t="inlineStr">
        <is>
          <t>—</t>
        </is>
      </c>
      <c r="H86" s="9" t="inlineStr">
        <is>
          <t>13 categories</t>
        </is>
      </c>
      <c r="I86" s="8" t="inlineStr">
        <is>
          <t>Database</t>
        </is>
      </c>
      <c r="J86" s="9" t="inlineStr">
        <is>
          <t>p303 section divider (recto) + 26 listing pages — generated from Mall_Tenants</t>
        </is>
      </c>
      <c r="K86" s="11" t="n"/>
      <c r="L86" s="11" t="n"/>
      <c r="M86" s="11" t="n"/>
      <c r="N86" s="11" t="n"/>
      <c r="O86" s="11" t="n"/>
      <c r="P86" s="11" t="n"/>
    </row>
    <row r="87" ht="26" customHeight="1" s="72">
      <c r="A87" s="8" t="n">
        <v>83</v>
      </c>
      <c r="B87" s="9" t="inlineStr">
        <is>
          <t>09 Service Providers</t>
        </is>
      </c>
      <c r="C87" s="9" t="inlineStr">
        <is>
          <t>Service providers by category</t>
        </is>
      </c>
      <c r="D87" s="31" t="inlineStr">
        <is>
          <t>📋 Listing</t>
        </is>
      </c>
      <c r="E87" s="20" t="n">
        <v>20</v>
      </c>
      <c r="F87" s="21" t="inlineStr">
        <is>
          <t>330–349</t>
        </is>
      </c>
      <c r="G87" s="22" t="inlineStr">
        <is>
          <t>—</t>
        </is>
      </c>
      <c r="H87" s="9" t="inlineStr">
        <is>
          <t>860 providers · 19 categories</t>
        </is>
      </c>
      <c r="I87" s="8" t="inlineStr">
        <is>
          <t>Database</t>
        </is>
      </c>
      <c r="J87" s="9" t="inlineStr">
        <is>
          <t>p330 section divider + 19 listing pages — needs the outreach campaign</t>
        </is>
      </c>
      <c r="K87" s="11" t="n"/>
      <c r="L87" s="11" t="n"/>
      <c r="M87" s="11" t="n"/>
      <c r="N87" s="11" t="n"/>
      <c r="O87" s="11" t="n"/>
      <c r="P87" s="11" t="n"/>
    </row>
    <row r="88" ht="26" customHeight="1" s="72">
      <c r="A88" s="8" t="n">
        <v>84</v>
      </c>
      <c r="B88" s="9" t="inlineStr">
        <is>
          <t>10 Members &amp; Reference</t>
        </is>
      </c>
      <c r="C88" s="9" t="inlineStr">
        <is>
          <t>MECSR Member Listings</t>
        </is>
      </c>
      <c r="D88" s="31" t="inlineStr">
        <is>
          <t>📋 Listing</t>
        </is>
      </c>
      <c r="E88" s="20" t="n">
        <v>16</v>
      </c>
      <c r="F88" s="21" t="inlineStr">
        <is>
          <t>350–365</t>
        </is>
      </c>
      <c r="G88" s="20" t="inlineStr">
        <is>
          <t>280</t>
        </is>
      </c>
      <c r="H88" s="9" t="inlineStr">
        <is>
          <t>436 active members</t>
        </is>
      </c>
      <c r="I88" s="8" t="inlineStr">
        <is>
          <t>Database</t>
        </is>
      </c>
      <c r="J88" s="9" t="inlineStr">
        <is>
          <t>Driven by the active member list and the Brilliant Directories export</t>
        </is>
      </c>
      <c r="K88" s="11" t="n"/>
      <c r="L88" s="11" t="n"/>
      <c r="M88" s="11" t="n"/>
      <c r="N88" s="11" t="n"/>
      <c r="O88" s="11" t="n"/>
      <c r="P88" s="11" t="n"/>
    </row>
    <row r="89" ht="26" customHeight="1" s="72">
      <c r="A89" s="8" t="n">
        <v>85</v>
      </c>
      <c r="B89" s="9" t="inlineStr">
        <is>
          <t>10 Members &amp; Reference</t>
        </is>
      </c>
      <c r="C89" s="9" t="inlineStr">
        <is>
          <t>A-Z Index of Properties</t>
        </is>
      </c>
      <c r="D89" s="31" t="inlineStr">
        <is>
          <t>🔠 Index</t>
        </is>
      </c>
      <c r="E89" s="20" t="n">
        <v>12</v>
      </c>
      <c r="F89" s="21" t="inlineStr">
        <is>
          <t>366–377</t>
        </is>
      </c>
      <c r="G89" s="22" t="inlineStr">
        <is>
          <t>—</t>
        </is>
      </c>
      <c r="H89" s="9" t="inlineStr">
        <is>
          <t>1377 properties</t>
        </is>
      </c>
      <c r="I89" s="8" t="inlineStr">
        <is>
          <t>Database</t>
        </is>
      </c>
      <c r="J89" s="9" t="inlineStr">
        <is>
          <t>Auto-generated from the master dataset</t>
        </is>
      </c>
      <c r="K89" s="11" t="n"/>
      <c r="L89" s="11" t="n"/>
      <c r="M89" s="11" t="n"/>
      <c r="N89" s="11" t="n"/>
      <c r="O89" s="11" t="n"/>
      <c r="P89" s="11" t="n"/>
    </row>
    <row r="90" ht="26" customHeight="1" s="72">
      <c r="A90" s="8" t="n">
        <v>86</v>
      </c>
      <c r="B90" s="9" t="inlineStr">
        <is>
          <t>10 Members &amp; Reference</t>
        </is>
      </c>
      <c r="C90" s="9" t="inlineStr">
        <is>
          <t>Methodology &amp; Confidence Labels</t>
        </is>
      </c>
      <c r="D90" s="25" t="inlineStr">
        <is>
          <t>📰 Editorial</t>
        </is>
      </c>
      <c r="E90" s="20" t="n">
        <v>2</v>
      </c>
      <c r="F90" s="21" t="inlineStr">
        <is>
          <t>378–379</t>
        </is>
      </c>
      <c r="G90" s="22" t="inlineStr">
        <is>
          <t>—</t>
        </is>
      </c>
      <c r="H90" s="15" t="inlineStr">
        <is>
          <t>—</t>
        </is>
      </c>
      <c r="I90" s="8" t="inlineStr">
        <is>
          <t>Editorial</t>
        </is>
      </c>
      <c r="J90" s="9" t="inlineStr">
        <is>
          <t>Source policy and three-pass verification</t>
        </is>
      </c>
      <c r="K90" s="11" t="n"/>
      <c r="L90" s="11" t="n"/>
      <c r="M90" s="11" t="n"/>
      <c r="N90" s="11" t="n"/>
      <c r="O90" s="11" t="n"/>
      <c r="P90" s="11" t="n"/>
    </row>
    <row r="91" ht="26" customHeight="1" s="72">
      <c r="A91" s="8" t="n">
        <v>87</v>
      </c>
      <c r="B91" s="9" t="inlineStr">
        <is>
          <t>10 Members &amp; Reference</t>
        </is>
      </c>
      <c r="C91" s="9" t="inlineStr">
        <is>
          <t>Media Kit — Advertise with MECSR</t>
        </is>
      </c>
      <c r="D91" s="25" t="inlineStr">
        <is>
          <t>📰 Editorial</t>
        </is>
      </c>
      <c r="E91" s="20" t="n">
        <v>1</v>
      </c>
      <c r="F91" s="21" t="inlineStr">
        <is>
          <t>380</t>
        </is>
      </c>
      <c r="G91" s="22" t="inlineStr">
        <is>
          <t>—</t>
        </is>
      </c>
      <c r="H91" s="15" t="inlineStr">
        <is>
          <t>—</t>
        </is>
      </c>
      <c r="I91" s="8" t="inlineStr">
        <is>
          <t>Editorial</t>
        </is>
      </c>
      <c r="J91" s="15" t="inlineStr">
        <is>
          <t>—</t>
        </is>
      </c>
      <c r="K91" s="11" t="n"/>
      <c r="L91" s="11" t="n"/>
      <c r="M91" s="11" t="n"/>
      <c r="N91" s="11" t="n"/>
      <c r="O91" s="11" t="n"/>
      <c r="P91" s="11" t="n"/>
    </row>
    <row r="92" ht="26" customHeight="1" s="72">
      <c r="A92" s="8" t="n">
        <v>88</v>
      </c>
      <c r="B92" s="9" t="inlineStr">
        <is>
          <t>10 Members &amp; Reference</t>
        </is>
      </c>
      <c r="C92" s="9" t="inlineStr">
        <is>
          <t>The Digital Directory</t>
        </is>
      </c>
      <c r="D92" s="25" t="inlineStr">
        <is>
          <t>📰 Editorial</t>
        </is>
      </c>
      <c r="E92" s="20" t="n">
        <v>1</v>
      </c>
      <c r="F92" s="21" t="inlineStr">
        <is>
          <t>381</t>
        </is>
      </c>
      <c r="G92" s="22" t="inlineStr">
        <is>
          <t>—</t>
        </is>
      </c>
      <c r="H92" s="15" t="inlineStr">
        <is>
          <t>—</t>
        </is>
      </c>
      <c r="I92" s="8" t="inlineStr">
        <is>
          <t>Editorial</t>
        </is>
      </c>
      <c r="J92" s="9" t="inlineStr">
        <is>
          <t>No QR codes in print from v13 (decided 12 Oct 2026): a Brilliant listing's web address changes when the listing is renamed, so a printed code would break. The page points readers to directory.mecsr.org, searched by name.</t>
        </is>
      </c>
      <c r="K92" s="11" t="n"/>
      <c r="L92" s="11" t="n"/>
      <c r="M92" s="11" t="n"/>
      <c r="N92" s="11" t="n"/>
      <c r="O92" s="11" t="n"/>
      <c r="P92" s="11" t="n"/>
    </row>
    <row r="93" ht="26" customHeight="1" s="72">
      <c r="A93" s="8" t="n">
        <v>89</v>
      </c>
      <c r="B93" s="9" t="inlineStr">
        <is>
          <t>10 Members &amp; Reference</t>
        </is>
      </c>
      <c r="C93" s="9" t="inlineStr">
        <is>
          <t>Acknowledgements &amp; Credits</t>
        </is>
      </c>
      <c r="D93" s="25" t="inlineStr">
        <is>
          <t>📰 Editorial</t>
        </is>
      </c>
      <c r="E93" s="20" t="n">
        <v>1</v>
      </c>
      <c r="F93" s="21" t="inlineStr">
        <is>
          <t>382</t>
        </is>
      </c>
      <c r="G93" s="22" t="inlineStr">
        <is>
          <t>—</t>
        </is>
      </c>
      <c r="H93" s="15" t="inlineStr">
        <is>
          <t>—</t>
        </is>
      </c>
      <c r="I93" s="8" t="inlineStr">
        <is>
          <t>Editorial</t>
        </is>
      </c>
      <c r="J93" s="15" t="inlineStr">
        <is>
          <t>—</t>
        </is>
      </c>
      <c r="K93" s="11" t="n"/>
      <c r="L93" s="11" t="n"/>
      <c r="M93" s="11" t="n"/>
      <c r="N93" s="11" t="n"/>
      <c r="O93" s="11" t="n"/>
      <c r="P93" s="11" t="inlineStr">
        <is>
          <t>v14: photography note added (RCM 2026 stand-in photos; the seal on sample listings).</t>
        </is>
      </c>
    </row>
    <row r="94" ht="26" customHeight="1" s="72">
      <c r="A94" s="8" t="n">
        <v>90</v>
      </c>
      <c r="B94" s="9" t="inlineStr">
        <is>
          <t>11 Covers</t>
        </is>
      </c>
      <c r="C94" s="9" t="inlineStr">
        <is>
          <t>Inside Back Cover (IBC) AD</t>
        </is>
      </c>
      <c r="D94" s="23" t="inlineStr">
        <is>
          <t>📢 Ad</t>
        </is>
      </c>
      <c r="E94" s="20" t="n">
        <v>1</v>
      </c>
      <c r="F94" s="21" t="inlineStr">
        <is>
          <t>383</t>
        </is>
      </c>
      <c r="G94" s="20" t="inlineStr">
        <is>
          <t>309–310, 320</t>
        </is>
      </c>
      <c r="H94" s="15" t="inlineStr">
        <is>
          <t>—</t>
        </is>
      </c>
      <c r="I94" s="8" t="inlineStr">
        <is>
          <t>Sales / Client</t>
        </is>
      </c>
      <c r="J94" s="9" t="inlineStr">
        <is>
          <t>2026: UNIFIED — premium position</t>
        </is>
      </c>
      <c r="K94" s="11" t="n"/>
      <c r="L94" s="11" t="n"/>
      <c r="M94" s="11" t="n"/>
      <c r="N94" s="11" t="n"/>
      <c r="O94" s="11" t="n"/>
      <c r="P94" s="11" t="n"/>
    </row>
    <row r="95" ht="26" customHeight="1" s="72">
      <c r="A95" s="8" t="n">
        <v>91</v>
      </c>
      <c r="B95" s="9" t="inlineStr">
        <is>
          <t>11 Covers</t>
        </is>
      </c>
      <c r="C95" s="9" t="inlineStr">
        <is>
          <t>Back Cover</t>
        </is>
      </c>
      <c r="D95" s="19" t="inlineStr">
        <is>
          <t>📕 Cover</t>
        </is>
      </c>
      <c r="E95" s="20" t="n">
        <v>1</v>
      </c>
      <c r="F95" s="21" t="inlineStr">
        <is>
          <t>384</t>
        </is>
      </c>
      <c r="G95" s="20" t="inlineStr">
        <is>
          <t>7–8, 311–312, 321–322</t>
        </is>
      </c>
      <c r="H95" s="15" t="inlineStr">
        <is>
          <t>—</t>
        </is>
      </c>
      <c r="I95" s="8" t="inlineStr">
        <is>
          <t>Design</t>
        </is>
      </c>
      <c r="J95" s="9" t="inlineStr">
        <is>
          <t>2026: KADEN — highest ad tier</t>
        </is>
      </c>
      <c r="K95" s="11" t="n"/>
      <c r="L95" s="11" t="n"/>
      <c r="M95" s="11" t="n"/>
      <c r="N95" s="11" t="n"/>
      <c r="O95" s="11" t="n"/>
      <c r="P95" s="11" t="n"/>
    </row>
    <row r="96">
      <c r="D96" s="17" t="inlineStr">
        <is>
          <t>TOTAL PAGES</t>
        </is>
      </c>
      <c r="E96" s="18">
        <f>SUM(E5:E95)</f>
        <v/>
      </c>
      <c r="F96" s="74" t="inlineStr">
        <is>
          <t>of 384</t>
        </is>
      </c>
    </row>
    <row r="97" hidden="1" ht="42" customHeight="1" s="72">
      <c r="B97" s="71" t="inlineStr">
        <is>
          <t>Page positions are locked to the 384-page plan (24 printer signatures of 16) — changing PP on one row means taking a page from another. Structural rows (listings, index, methodology) are generated from the master dataset and do not need chasing; commercial and editorial rows do. v12 (10 Oct 2026): every two-page item starts on a left-hand (even) page — showcases 20–35, expert views 38–55, country profiles 58–65 — so each prints and displays as a true spread.</t>
        </is>
      </c>
    </row>
    <row r="98" hidden="1" s="72">
      <c r="B98" s="32" t="inlineStr">
        <is>
          <t>PAGES BY TYPE</t>
        </is>
      </c>
    </row>
    <row r="99" hidden="1" s="72">
      <c r="B99" s="33" t="inlineStr">
        <is>
          <t>TYPE</t>
        </is>
      </c>
      <c r="C99" s="33" t="inlineStr">
        <is>
          <t>ITEMS</t>
        </is>
      </c>
      <c r="D99" s="33" t="inlineStr">
        <is>
          <t>PAGES</t>
        </is>
      </c>
      <c r="E99" s="33" t="inlineStr">
        <is>
          <t>SHARE</t>
        </is>
      </c>
    </row>
    <row r="100" hidden="1" s="72">
      <c r="B100" s="34" t="inlineStr">
        <is>
          <t>📕 Cover</t>
        </is>
      </c>
      <c r="C100" s="35" t="n">
        <v>2</v>
      </c>
      <c r="D100" s="35" t="n">
        <v>2</v>
      </c>
      <c r="E100" s="36" t="n">
        <v>0.005208333333333333</v>
      </c>
    </row>
    <row r="101" hidden="1" s="72">
      <c r="B101" s="37" t="inlineStr">
        <is>
          <t>📢 Ad</t>
        </is>
      </c>
      <c r="C101" s="35" t="n">
        <v>6</v>
      </c>
      <c r="D101" s="35" t="n">
        <v>6</v>
      </c>
      <c r="E101" s="36" t="n">
        <v>0.015625</v>
      </c>
    </row>
    <row r="102" hidden="1" s="72">
      <c r="B102" s="38" t="inlineStr">
        <is>
          <t>⭐ Showcase</t>
        </is>
      </c>
      <c r="C102" s="35" t="n">
        <v>8</v>
      </c>
      <c r="D102" s="35" t="n">
        <v>16</v>
      </c>
      <c r="E102" s="36" t="n">
        <v>0.04166666666666666</v>
      </c>
    </row>
    <row r="103" hidden="1" s="72">
      <c r="B103" s="39" t="inlineStr">
        <is>
          <t>✍️ Article</t>
        </is>
      </c>
      <c r="C103" s="35" t="n">
        <v>9</v>
      </c>
      <c r="D103" s="35" t="n">
        <v>18</v>
      </c>
      <c r="E103" s="36" t="n">
        <v>0.046875</v>
      </c>
    </row>
    <row r="104" hidden="1" s="72">
      <c r="B104" s="40" t="inlineStr">
        <is>
          <t>🌍 Country Profile</t>
        </is>
      </c>
      <c r="C104" s="35" t="n">
        <v>4</v>
      </c>
      <c r="D104" s="35" t="n">
        <v>8</v>
      </c>
      <c r="E104" s="36" t="n">
        <v>0.02083333333333333</v>
      </c>
    </row>
    <row r="105" hidden="1" s="72">
      <c r="B105" s="41" t="inlineStr">
        <is>
          <t>🏬 Feature</t>
        </is>
      </c>
      <c r="C105" s="35" t="n">
        <v>8</v>
      </c>
      <c r="D105" s="35" t="n">
        <v>8</v>
      </c>
      <c r="E105" s="36" t="n">
        <v>0.02083333333333333</v>
      </c>
    </row>
    <row r="106" hidden="1" s="72">
      <c r="B106" s="42" t="inlineStr">
        <is>
          <t>💬 Message</t>
        </is>
      </c>
      <c r="C106" s="35" t="n">
        <v>3</v>
      </c>
      <c r="D106" s="35" t="n">
        <v>3</v>
      </c>
      <c r="E106" s="36" t="n">
        <v>0.0078125</v>
      </c>
    </row>
    <row r="107" hidden="1" s="72">
      <c r="B107" s="43" t="inlineStr">
        <is>
          <t>📑 TOC</t>
        </is>
      </c>
      <c r="C107" s="35" t="n">
        <v>4</v>
      </c>
      <c r="D107" s="35" t="n">
        <v>6</v>
      </c>
      <c r="E107" s="36" t="n">
        <v>0.015625</v>
      </c>
    </row>
    <row r="108" hidden="1" s="72">
      <c r="B108" s="44" t="inlineStr">
        <is>
          <t>📰 Editorial</t>
        </is>
      </c>
      <c r="C108" s="35" t="n">
        <v>12</v>
      </c>
      <c r="D108" s="35" t="n">
        <v>19</v>
      </c>
      <c r="E108" s="36" t="n">
        <v>0.04947916666666666</v>
      </c>
    </row>
    <row r="109" hidden="1" s="72">
      <c r="B109" s="45" t="inlineStr">
        <is>
          <t>📋 Listing</t>
        </is>
      </c>
      <c r="C109" s="35" t="n">
        <v>34</v>
      </c>
      <c r="D109" s="35" t="n">
        <v>286</v>
      </c>
      <c r="E109" s="36" t="n">
        <v>0.7447916666666666</v>
      </c>
    </row>
    <row r="110" hidden="1" s="72">
      <c r="B110" s="45" t="inlineStr">
        <is>
          <t>🔠 Index</t>
        </is>
      </c>
      <c r="C110" s="35" t="n">
        <v>1</v>
      </c>
      <c r="D110" s="35" t="n">
        <v>12</v>
      </c>
      <c r="E110" s="36" t="n">
        <v>0.03125</v>
      </c>
    </row>
    <row r="111" hidden="1" s="72">
      <c r="B111" s="46" t="inlineStr">
        <is>
          <t>TOTAL</t>
        </is>
      </c>
      <c r="C111" s="47">
        <f>SUM(C100:C110)</f>
        <v/>
      </c>
      <c r="D111" s="47">
        <f>SUM(D100:D110)</f>
        <v/>
      </c>
      <c r="E111" s="48">
        <f>SUM(E100:E110)</f>
        <v/>
      </c>
    </row>
    <row r="112" hidden="1" s="72"/>
    <row r="113" hidden="1" s="72">
      <c r="B113" s="32" t="inlineStr">
        <is>
          <t>COMMERCIAL INVENTORY</t>
        </is>
      </c>
    </row>
    <row r="114" hidden="1" s="72">
      <c r="B114" s="49" t="inlineStr">
        <is>
          <t>Sellable positions (ads, DPS showcases, expert views)</t>
        </is>
      </c>
      <c r="C114" s="50" t="n"/>
      <c r="D114" s="50" t="n"/>
      <c r="E114" s="51" t="n">
        <v>23</v>
      </c>
    </row>
    <row r="115" hidden="1" s="72">
      <c r="B115" s="49" t="inlineStr">
        <is>
          <t>Pages they occupy</t>
        </is>
      </c>
      <c r="C115" s="50" t="n"/>
      <c r="D115" s="50" t="n"/>
      <c r="E115" s="51" t="n">
        <v>40</v>
      </c>
    </row>
    <row r="116" hidden="1" s="72">
      <c r="B116" s="49" t="inlineStr">
        <is>
          <t>Share of the book</t>
        </is>
      </c>
      <c r="C116" s="50" t="n"/>
      <c r="D116" s="50" t="n"/>
      <c r="E116" s="51" t="inlineStr">
        <is>
          <t>10.4%</t>
        </is>
      </c>
    </row>
    <row r="117" hidden="1" s="72">
      <c r="B117" s="49" t="inlineStr">
        <is>
          <t>Open slots still to sell</t>
        </is>
      </c>
      <c r="C117" s="50" t="n"/>
      <c r="D117" s="50" t="n"/>
      <c r="E117" s="51" t="n">
        <v>2</v>
      </c>
    </row>
    <row r="118" hidden="1" s="72">
      <c r="B118" s="49" t="inlineStr">
        <is>
          <t>Premium positions (IFC p2 · opening showcase pp20–21 · IBC p383 · Back Cover p384)</t>
        </is>
      </c>
      <c r="C118" s="50" t="n"/>
      <c r="D118" s="50" t="n"/>
      <c r="E118" s="51" t="n">
        <v>4</v>
      </c>
    </row>
    <row r="119" hidden="1" s="72"/>
    <row r="120" hidden="1" s="72"/>
    <row r="121" hidden="1" s="72">
      <c r="B121" s="32" t="inlineStr">
        <is>
          <t>DEADLINE CASCADE</t>
        </is>
      </c>
      <c r="E121" s="74" t="inlineStr">
        <is>
          <t>Set the press date and every milestone recalculates.</t>
        </is>
      </c>
    </row>
    <row r="122" hidden="1" s="72">
      <c r="B122" s="17" t="inlineStr">
        <is>
          <t>PRESS DATE →</t>
        </is>
      </c>
      <c r="C122" s="52" t="inlineStr">
        <is>
          <t>2027-07-01</t>
        </is>
      </c>
      <c r="D122" s="53" t="inlineStr">
        <is>
          <t>← edit this cell (YYYY-MM-DD)</t>
        </is>
      </c>
    </row>
    <row r="123" hidden="1" s="72"/>
    <row r="124" hidden="1" s="72">
      <c r="B124" s="33" t="inlineStr">
        <is>
          <t>WEEKS OUT</t>
        </is>
      </c>
      <c r="C124" s="33" t="inlineStr">
        <is>
          <t>MILESTONE</t>
        </is>
      </c>
      <c r="D124" s="33" t="inlineStr">
        <is>
          <t>DATE</t>
        </is>
      </c>
      <c r="E124" s="33" t="inlineStr">
        <is>
          <t>OWNER</t>
        </is>
      </c>
    </row>
    <row r="125" hidden="1" s="72">
      <c r="B125" s="35" t="inlineStr">
        <is>
          <t>P − 20 wks</t>
        </is>
      </c>
      <c r="C125" s="49" t="inlineStr">
        <is>
          <t>Rate card live · flat plan v1 published with premium positions mapped</t>
        </is>
      </c>
      <c r="D125" s="54">
        <f>IF($C$122="","",IF(ISNUMBER($C$122),$C$122,DATEVALUE($C$122))-140)</f>
        <v/>
      </c>
      <c r="E125" s="49" t="inlineStr">
        <is>
          <t>Sales + Production</t>
        </is>
      </c>
    </row>
    <row r="126" hidden="1" s="72">
      <c r="B126" s="35" t="inlineStr">
        <is>
          <t>P − 12 wks</t>
        </is>
      </c>
      <c r="C126" s="49" t="inlineStr">
        <is>
          <t>Premium positions close — IFC p2, opening showcase, IBC, back cover</t>
        </is>
      </c>
      <c r="D126" s="54">
        <f>IF($C$122="","",IF(ISNUMBER($C$122),$C$122,DATEVALUE($C$122))-84)</f>
        <v/>
      </c>
      <c r="E126" s="49" t="inlineStr">
        <is>
          <t>Sales</t>
        </is>
      </c>
    </row>
    <row r="127" hidden="1" s="72">
      <c r="B127" s="35" t="inlineStr">
        <is>
          <t>P − 10 wks</t>
        </is>
      </c>
      <c r="C127" s="49" t="inlineStr">
        <is>
          <t>AD SPACE CLOSE — all bookings in; page count locked to signatures</t>
        </is>
      </c>
      <c r="D127" s="54">
        <f>IF($C$122="","",IF(ISNUMBER($C$122),$C$122,DATEVALUE($C$122))-70)</f>
        <v/>
      </c>
      <c r="E127" s="49" t="inlineStr">
        <is>
          <t>Sales</t>
        </is>
      </c>
    </row>
    <row r="128" hidden="1" s="72">
      <c r="B128" s="35" t="inlineStr">
        <is>
          <t>P − 8 wks</t>
        </is>
      </c>
      <c r="C128" s="49" t="inlineStr">
        <is>
          <t>LISTING DATA FREEZE — master dataset locked; first flow to layout</t>
        </is>
      </c>
      <c r="D128" s="54">
        <f>IF($C$122="","",IF(ISNUMBER($C$122),$C$122,DATEVALUE($C$122))-56)</f>
        <v/>
      </c>
      <c r="E128" s="49" t="inlineStr">
        <is>
          <t>Data / Research</t>
        </is>
      </c>
    </row>
    <row r="129" hidden="1" s="72">
      <c r="B129" s="35" t="inlineStr">
        <is>
          <t>P − 6 wks</t>
        </is>
      </c>
      <c r="C129" s="49" t="inlineStr">
        <is>
          <t>Copy deadline — sponsored articles &amp; expert views</t>
        </is>
      </c>
      <c r="D129" s="54">
        <f>IF($C$122="","",IF(ISNUMBER($C$122),$C$122,DATEVALUE($C$122))-42)</f>
        <v/>
      </c>
      <c r="E129" s="49" t="inlineStr">
        <is>
          <t>Editorial</t>
        </is>
      </c>
    </row>
    <row r="130" hidden="1" s="72">
      <c r="B130" s="35" t="inlineStr">
        <is>
          <t>P − 5 wks</t>
        </is>
      </c>
      <c r="C130" s="49" t="inlineStr">
        <is>
          <t>AD MATERIALS DEADLINE — all supplied artwork in</t>
        </is>
      </c>
      <c r="D130" s="54">
        <f>IF($C$122="","",IF(ISNUMBER($C$122),$C$122,DATEVALUE($C$122))-35)</f>
        <v/>
      </c>
      <c r="E130" s="49" t="inlineStr">
        <is>
          <t>Production</t>
        </is>
      </c>
    </row>
    <row r="131" hidden="1" s="72">
      <c r="B131" s="35" t="inlineStr">
        <is>
          <t>P − 4 wks</t>
        </is>
      </c>
      <c r="C131" s="49" t="inlineStr">
        <is>
          <t>All pages designed; full-book first proof out</t>
        </is>
      </c>
      <c r="D131" s="54">
        <f>IF($C$122="","",IF(ISNUMBER($C$122),$C$122,DATEVALUE($C$122))-28)</f>
        <v/>
      </c>
      <c r="E131" s="49" t="inlineStr">
        <is>
          <t>Design</t>
        </is>
      </c>
    </row>
    <row r="132" hidden="1" s="72">
      <c r="B132" s="35" t="inlineStr">
        <is>
          <t>P − 3 wks</t>
        </is>
      </c>
      <c r="C132" s="49" t="inlineStr">
        <is>
          <t>Sponsor approvals returned on commercial pages</t>
        </is>
      </c>
      <c r="D132" s="54">
        <f>IF($C$122="","",IF(ISNUMBER($C$122),$C$122,DATEVALUE($C$122))-21)</f>
        <v/>
      </c>
      <c r="E132" s="49" t="inlineStr">
        <is>
          <t>Account Management</t>
        </is>
      </c>
    </row>
    <row r="133" hidden="1" s="72">
      <c r="B133" s="35" t="inlineStr">
        <is>
          <t>P − 2 wks</t>
        </is>
      </c>
      <c r="C133" s="49" t="inlineStr">
        <is>
          <t>COPY FREEZE — no further text changes</t>
        </is>
      </c>
      <c r="D133" s="54">
        <f>IF($C$122="","",IF(ISNUMBER($C$122),$C$122,DATEVALUE($C$122))-14)</f>
        <v/>
      </c>
      <c r="E133" s="49" t="inlineStr">
        <is>
          <t>Editorial</t>
        </is>
      </c>
    </row>
    <row r="134" hidden="1" s="72">
      <c r="B134" s="35" t="inlineStr">
        <is>
          <t>P − 1 wk</t>
        </is>
      </c>
      <c r="C134" s="49" t="inlineStr">
        <is>
          <t>Final proof signed off; every row at Signed Off</t>
        </is>
      </c>
      <c r="D134" s="54">
        <f>IF($C$122="","",IF(ISNUMBER($C$122),$C$122,DATEVALUE($C$122))-7)</f>
        <v/>
      </c>
      <c r="E134" s="49" t="inlineStr">
        <is>
          <t>Editor-in-Chief</t>
        </is>
      </c>
    </row>
    <row r="135" hidden="1" s="72">
      <c r="B135" s="55" t="inlineStr">
        <is>
          <t>PRESS</t>
        </is>
      </c>
      <c r="C135" s="49" t="inlineStr">
        <is>
          <t>PDF/X export, preflight, upload to printer</t>
        </is>
      </c>
      <c r="D135" s="54">
        <f>IF($C$122="","",IF(ISNUMBER($C$122),$C$122,DATEVALUE($C$122))-0)</f>
        <v/>
      </c>
      <c r="E135" s="49" t="inlineStr">
        <is>
          <t>Production</t>
        </is>
      </c>
    </row>
    <row r="136" hidden="1" s="72"/>
    <row r="137" hidden="1" ht="30" customHeight="1" s="72">
      <c r="B137" s="71" t="inlineStr">
        <is>
          <t>PRINTER NOTE — the plan is 384 pages, exactly 24 signatures of 16. The Brilliant Directories extract added 313 listings; moving S1/S2 and unclassified centres to a 36-row table and mixed-use to 6 per page absorbed them without shrinking the approved mall card. Must-Visit is restored to 10 pages.</t>
        </is>
      </c>
    </row>
    <row r="138" hidden="1" s="72"/>
    <row r="139" hidden="1" s="72"/>
  </sheetData>
  <autoFilter ref="A4:P95"/>
  <mergeCells count="4">
    <mergeCell ref="B97:I97"/>
    <mergeCell ref="B137:J137"/>
    <mergeCell ref="A1:F1"/>
    <mergeCell ref="A2:J2"/>
  </mergeCells>
  <dataValidations count="2">
    <dataValidation sqref="M5:M115" showDropDown="0" showInputMessage="0" showErrorMessage="0" allowBlank="1" type="list">
      <formula1>"Not Started,Commissioned,Chasing,Copy Received,Approved"</formula1>
    </dataValidation>
    <dataValidation sqref="N5:N115" showDropDown="0" showInputMessage="0" showErrorMessage="0" allowBlank="1" type="list">
      <formula1>"Not Started,In Design,First Proof,Corrections,Signed Off,Print-Ready"</formula1>
    </dataValidation>
  </dataValidations>
  <pageMargins left="0.75" right="0.75" top="1" bottom="1" header="0.5" footer="0.5"/>
  <pageSetup orientation="landscape" fitToHeight="0"/>
</worksheet>
</file>

<file path=xl/worksheets/sheet6.xml><?xml version="1.0" encoding="utf-8"?>
<worksheet xmlns="http://schemas.openxmlformats.org/spreadsheetml/2006/main">
  <sheetPr>
    <outlinePr summaryBelow="1" summaryRight="1"/>
    <pageSetUpPr fitToPage="1"/>
  </sheetPr>
  <dimension ref="A1:M27"/>
  <sheetViews>
    <sheetView showGridLines="0"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4.25"/>
  <cols>
    <col width="6" customWidth="1" style="72" min="1" max="1"/>
    <col width="44" customWidth="1" style="72" min="2" max="2"/>
    <col width="15" customWidth="1" style="72" min="3" max="3"/>
    <col width="10" customWidth="1" style="72" min="4" max="4"/>
    <col width="9" customWidth="1" style="72" min="5" max="5"/>
    <col width="10" customWidth="1" style="72" min="6" max="6"/>
    <col width="16" customWidth="1" style="72" min="7" max="7"/>
    <col width="12" customWidth="1" style="72" min="8" max="8"/>
    <col width="15" customWidth="1" style="72" min="9" max="9"/>
    <col width="18" customWidth="1" style="72" min="10" max="11"/>
    <col width="16" customWidth="1" style="72" min="12" max="12"/>
    <col width="40" customWidth="1" style="72" min="13" max="13"/>
  </cols>
  <sheetData>
    <row r="1" ht="17.65" customHeight="1" s="72">
      <c r="A1" s="73" t="inlineStr">
        <is>
          <t>05 · SERVICE PROVIDERS — pages 330–349</t>
        </is>
      </c>
    </row>
    <row r="2">
      <c r="A2" s="74" t="inlineStr">
        <is>
          <t>The 19 categories carried from the 2026 listing, with the page budget each earns. Use this to run the verification and outreach campaign.</t>
        </is>
      </c>
    </row>
    <row r="4" ht="32" customHeight="1" s="72">
      <c r="A4" s="6" t="inlineStr">
        <is>
          <t>SN</t>
        </is>
      </c>
      <c r="B4" s="6" t="inlineStr">
        <is>
          <t>CATEGORY</t>
        </is>
      </c>
      <c r="C4" s="6" t="inlineStr">
        <is>
          <t>PROVIDERS 2026</t>
        </is>
      </c>
      <c r="D4" s="6" t="inlineStr">
        <is>
          <t>SHARE</t>
        </is>
      </c>
      <c r="E4" s="6" t="inlineStr">
        <is>
          <t>PAGES</t>
        </is>
      </c>
      <c r="F4" s="6" t="inlineStr">
        <is>
          <t>PER PAGE</t>
        </is>
      </c>
      <c r="G4" s="7" t="inlineStr">
        <is>
          <t>OUTREACH SENT</t>
        </is>
      </c>
      <c r="H4" s="7" t="inlineStr">
        <is>
          <t>REPLIES</t>
        </is>
      </c>
      <c r="I4" s="7" t="inlineStr">
        <is>
          <t>VERIFIED 2027</t>
        </is>
      </c>
      <c r="J4" s="7" t="inlineStr">
        <is>
          <t>LOGO / ARTWORK IN</t>
        </is>
      </c>
      <c r="K4" s="7" t="inlineStr">
        <is>
          <t>STATUS</t>
        </is>
      </c>
      <c r="L4" s="7" t="inlineStr">
        <is>
          <t>OWNER</t>
        </is>
      </c>
      <c r="M4" s="7" t="inlineStr">
        <is>
          <t>NOTES</t>
        </is>
      </c>
    </row>
    <row r="5">
      <c r="A5" s="8" t="n">
        <v>1</v>
      </c>
      <c r="B5" s="9" t="inlineStr">
        <is>
          <t>Real Estate and Shopping Centre Companies</t>
        </is>
      </c>
      <c r="C5" s="20" t="n">
        <v>229</v>
      </c>
      <c r="D5" s="56" t="n">
        <v>0.2662790697674419</v>
      </c>
      <c r="E5" s="57" t="n">
        <v>4.5</v>
      </c>
      <c r="F5" s="20" t="n">
        <v>51</v>
      </c>
      <c r="G5" s="11" t="n"/>
      <c r="H5" s="11" t="n"/>
      <c r="I5" s="11" t="n"/>
      <c r="J5" s="11" t="n"/>
      <c r="K5" s="11" t="n"/>
      <c r="L5" s="11" t="n"/>
      <c r="M5" s="11" t="n"/>
    </row>
    <row r="6">
      <c r="A6" s="8" t="n">
        <v>2</v>
      </c>
      <c r="B6" s="9" t="inlineStr">
        <is>
          <t>Business Consulting and Research</t>
        </is>
      </c>
      <c r="C6" s="20" t="n">
        <v>107</v>
      </c>
      <c r="D6" s="56" t="n">
        <v>0.1244186046511628</v>
      </c>
      <c r="E6" s="57" t="n">
        <v>2</v>
      </c>
      <c r="F6" s="20" t="n">
        <v>54</v>
      </c>
      <c r="G6" s="11" t="n"/>
      <c r="H6" s="11" t="n"/>
      <c r="I6" s="11" t="n"/>
      <c r="J6" s="11" t="n"/>
      <c r="K6" s="11" t="n"/>
      <c r="L6" s="11" t="n"/>
      <c r="M6" s="11" t="n"/>
    </row>
    <row r="7">
      <c r="A7" s="8" t="n">
        <v>3</v>
      </c>
      <c r="B7" s="9" t="inlineStr">
        <is>
          <t>Digital Transformation and IT Services</t>
        </is>
      </c>
      <c r="C7" s="20" t="n">
        <v>101</v>
      </c>
      <c r="D7" s="56" t="n">
        <v>0.1174418604651163</v>
      </c>
      <c r="E7" s="57" t="n">
        <v>2</v>
      </c>
      <c r="F7" s="20" t="n">
        <v>50</v>
      </c>
      <c r="G7" s="11" t="n"/>
      <c r="H7" s="11" t="n"/>
      <c r="I7" s="11" t="n"/>
      <c r="J7" s="11" t="n"/>
      <c r="K7" s="11" t="n"/>
      <c r="L7" s="11" t="n"/>
      <c r="M7" s="11" t="n"/>
    </row>
    <row r="8">
      <c r="A8" s="8" t="n">
        <v>4</v>
      </c>
      <c r="B8" s="9" t="inlineStr">
        <is>
          <t>Leasing, Asset Management, and Advisory</t>
        </is>
      </c>
      <c r="C8" s="20" t="n">
        <v>75</v>
      </c>
      <c r="D8" s="56" t="n">
        <v>0.0872093023255814</v>
      </c>
      <c r="E8" s="57" t="n">
        <v>1.5</v>
      </c>
      <c r="F8" s="20" t="n">
        <v>50</v>
      </c>
      <c r="G8" s="11" t="n"/>
      <c r="H8" s="11" t="n"/>
      <c r="I8" s="11" t="n"/>
      <c r="J8" s="11" t="n"/>
      <c r="K8" s="11" t="n"/>
      <c r="L8" s="11" t="n"/>
      <c r="M8" s="11" t="n"/>
    </row>
    <row r="9">
      <c r="A9" s="8" t="n">
        <v>5</v>
      </c>
      <c r="B9" s="9" t="inlineStr">
        <is>
          <t>Advertising, Marketing, and PR</t>
        </is>
      </c>
      <c r="C9" s="20" t="n">
        <v>60</v>
      </c>
      <c r="D9" s="56" t="n">
        <v>0.06976744186046512</v>
      </c>
      <c r="E9" s="57" t="n">
        <v>1</v>
      </c>
      <c r="F9" s="20" t="n">
        <v>60</v>
      </c>
      <c r="G9" s="11" t="n"/>
      <c r="H9" s="11" t="n"/>
      <c r="I9" s="11" t="n"/>
      <c r="J9" s="11" t="n"/>
      <c r="K9" s="11" t="n"/>
      <c r="L9" s="11" t="n"/>
      <c r="M9" s="11" t="n"/>
    </row>
    <row r="10">
      <c r="A10" s="8" t="n">
        <v>6</v>
      </c>
      <c r="B10" s="9" t="inlineStr">
        <is>
          <t>Architecture, Design, and Construction</t>
        </is>
      </c>
      <c r="C10" s="20" t="n">
        <v>60</v>
      </c>
      <c r="D10" s="56" t="n">
        <v>0.06976744186046512</v>
      </c>
      <c r="E10" s="57" t="n">
        <v>1</v>
      </c>
      <c r="F10" s="20" t="n">
        <v>60</v>
      </c>
      <c r="G10" s="11" t="n"/>
      <c r="H10" s="11" t="n"/>
      <c r="I10" s="11" t="n"/>
      <c r="J10" s="11" t="n"/>
      <c r="K10" s="11" t="n"/>
      <c r="L10" s="11" t="n"/>
      <c r="M10" s="11" t="n"/>
    </row>
    <row r="11">
      <c r="A11" s="8" t="n">
        <v>7</v>
      </c>
      <c r="B11" s="9" t="inlineStr">
        <is>
          <t>Retail and Entertainment Solutions</t>
        </is>
      </c>
      <c r="C11" s="20" t="n">
        <v>52</v>
      </c>
      <c r="D11" s="56" t="n">
        <v>0.06046511627906977</v>
      </c>
      <c r="E11" s="57" t="n">
        <v>1</v>
      </c>
      <c r="F11" s="20" t="n">
        <v>52</v>
      </c>
      <c r="G11" s="11" t="n"/>
      <c r="H11" s="11" t="n"/>
      <c r="I11" s="11" t="n"/>
      <c r="J11" s="11" t="n"/>
      <c r="K11" s="11" t="n"/>
      <c r="L11" s="11" t="n"/>
      <c r="M11" s="11" t="n"/>
    </row>
    <row r="12">
      <c r="A12" s="8" t="n">
        <v>8</v>
      </c>
      <c r="B12" s="9" t="inlineStr">
        <is>
          <t>Events &amp; Exhibitions</t>
        </is>
      </c>
      <c r="C12" s="20" t="n">
        <v>26</v>
      </c>
      <c r="D12" s="56" t="n">
        <v>0.03023255813953488</v>
      </c>
      <c r="E12" s="57" t="n">
        <v>0.5</v>
      </c>
      <c r="F12" s="20" t="n">
        <v>52</v>
      </c>
      <c r="G12" s="11" t="n"/>
      <c r="H12" s="11" t="n"/>
      <c r="I12" s="11" t="n"/>
      <c r="J12" s="11" t="n"/>
      <c r="K12" s="11" t="n"/>
      <c r="L12" s="11" t="n"/>
      <c r="M12" s="11" t="n"/>
    </row>
    <row r="13">
      <c r="A13" s="8" t="n">
        <v>9</v>
      </c>
      <c r="B13" s="9" t="inlineStr">
        <is>
          <t>Financial and Professional Services</t>
        </is>
      </c>
      <c r="C13" s="20" t="n">
        <v>26</v>
      </c>
      <c r="D13" s="56" t="n">
        <v>0.03023255813953488</v>
      </c>
      <c r="E13" s="57" t="n">
        <v>0.5</v>
      </c>
      <c r="F13" s="20" t="n">
        <v>52</v>
      </c>
      <c r="G13" s="11" t="n"/>
      <c r="H13" s="11" t="n"/>
      <c r="I13" s="11" t="n"/>
      <c r="J13" s="11" t="n"/>
      <c r="K13" s="11" t="n"/>
      <c r="L13" s="11" t="n"/>
      <c r="M13" s="11" t="n"/>
    </row>
    <row r="14">
      <c r="A14" s="8" t="n">
        <v>10</v>
      </c>
      <c r="B14" s="9" t="inlineStr">
        <is>
          <t>Interior Design and Fit-out</t>
        </is>
      </c>
      <c r="C14" s="20" t="n">
        <v>26</v>
      </c>
      <c r="D14" s="56" t="n">
        <v>0.03023255813953488</v>
      </c>
      <c r="E14" s="57" t="n">
        <v>0.5</v>
      </c>
      <c r="F14" s="20" t="n">
        <v>52</v>
      </c>
      <c r="G14" s="11" t="n"/>
      <c r="H14" s="11" t="n"/>
      <c r="I14" s="11" t="n"/>
      <c r="J14" s="11" t="n"/>
      <c r="K14" s="11" t="n"/>
      <c r="L14" s="11" t="n"/>
      <c r="M14" s="11" t="n"/>
    </row>
    <row r="15">
      <c r="A15" s="8" t="n">
        <v>11</v>
      </c>
      <c r="B15" s="9" t="inlineStr">
        <is>
          <t>Furnishing, Decorations, and Supplies</t>
        </is>
      </c>
      <c r="C15" s="20" t="n">
        <v>21</v>
      </c>
      <c r="D15" s="56" t="n">
        <v>0.02441860465116279</v>
      </c>
      <c r="E15" s="57" t="n">
        <v>0.5</v>
      </c>
      <c r="F15" s="20" t="n">
        <v>42</v>
      </c>
      <c r="G15" s="11" t="n"/>
      <c r="H15" s="11" t="n"/>
      <c r="I15" s="11" t="n"/>
      <c r="J15" s="11" t="n"/>
      <c r="K15" s="11" t="n"/>
      <c r="L15" s="11" t="n"/>
      <c r="M15" s="11" t="n"/>
    </row>
    <row r="16">
      <c r="A16" s="8" t="n">
        <v>12</v>
      </c>
      <c r="B16" s="9" t="inlineStr">
        <is>
          <t>Economic Development and Investment Promotion</t>
        </is>
      </c>
      <c r="C16" s="20" t="n">
        <v>13</v>
      </c>
      <c r="D16" s="56" t="n">
        <v>0.01511627906976744</v>
      </c>
      <c r="E16" s="57" t="n">
        <v>0.5</v>
      </c>
      <c r="F16" s="20" t="n">
        <v>26</v>
      </c>
      <c r="G16" s="11" t="n"/>
      <c r="H16" s="11" t="n"/>
      <c r="I16" s="11" t="n"/>
      <c r="J16" s="11" t="n"/>
      <c r="K16" s="11" t="n"/>
      <c r="L16" s="11" t="n"/>
      <c r="M16" s="11" t="n"/>
    </row>
    <row r="17">
      <c r="A17" s="8" t="n">
        <v>13</v>
      </c>
      <c r="B17" s="9" t="inlineStr">
        <is>
          <t>Facility Management Company</t>
        </is>
      </c>
      <c r="C17" s="20" t="n">
        <v>12</v>
      </c>
      <c r="D17" s="56" t="n">
        <v>0.01395348837209302</v>
      </c>
      <c r="E17" s="57" t="n">
        <v>0.5</v>
      </c>
      <c r="F17" s="20" t="n">
        <v>24</v>
      </c>
      <c r="G17" s="11" t="n"/>
      <c r="H17" s="11" t="n"/>
      <c r="I17" s="11" t="n"/>
      <c r="J17" s="11" t="n"/>
      <c r="K17" s="11" t="n"/>
      <c r="L17" s="11" t="n"/>
      <c r="M17" s="11" t="n"/>
    </row>
    <row r="18">
      <c r="A18" s="8" t="n">
        <v>14</v>
      </c>
      <c r="B18" s="9" t="inlineStr">
        <is>
          <t>Global Partnership and Collaboration</t>
        </is>
      </c>
      <c r="C18" s="20" t="n">
        <v>12</v>
      </c>
      <c r="D18" s="56" t="n">
        <v>0.01395348837209302</v>
      </c>
      <c r="E18" s="57" t="n">
        <v>0.5</v>
      </c>
      <c r="F18" s="20" t="n">
        <v>24</v>
      </c>
      <c r="G18" s="11" t="n"/>
      <c r="H18" s="11" t="n"/>
      <c r="I18" s="11" t="n"/>
      <c r="J18" s="11" t="n"/>
      <c r="K18" s="11" t="n"/>
      <c r="L18" s="11" t="n"/>
      <c r="M18" s="11" t="n"/>
    </row>
    <row r="19">
      <c r="A19" s="8" t="n">
        <v>15</v>
      </c>
      <c r="B19" s="9" t="inlineStr">
        <is>
          <t>Digital Signage and Displays</t>
        </is>
      </c>
      <c r="C19" s="20" t="n">
        <v>10</v>
      </c>
      <c r="D19" s="56" t="n">
        <v>0.01162790697674419</v>
      </c>
      <c r="E19" s="57" t="n">
        <v>0.5</v>
      </c>
      <c r="F19" s="20" t="n">
        <v>20</v>
      </c>
      <c r="G19" s="11" t="n"/>
      <c r="H19" s="11" t="n"/>
      <c r="I19" s="11" t="n"/>
      <c r="J19" s="11" t="n"/>
      <c r="K19" s="11" t="n"/>
      <c r="L19" s="11" t="n"/>
      <c r="M19" s="11" t="n"/>
    </row>
    <row r="20">
      <c r="A20" s="8" t="n">
        <v>16</v>
      </c>
      <c r="B20" s="9" t="inlineStr">
        <is>
          <t>Human Resources and Training</t>
        </is>
      </c>
      <c r="C20" s="20" t="n">
        <v>10</v>
      </c>
      <c r="D20" s="56" t="n">
        <v>0.01162790697674419</v>
      </c>
      <c r="E20" s="57" t="n">
        <v>0.5</v>
      </c>
      <c r="F20" s="20" t="n">
        <v>20</v>
      </c>
      <c r="G20" s="11" t="n"/>
      <c r="H20" s="11" t="n"/>
      <c r="I20" s="11" t="n"/>
      <c r="J20" s="11" t="n"/>
      <c r="K20" s="11" t="n"/>
      <c r="L20" s="11" t="n"/>
      <c r="M20" s="11" t="n"/>
    </row>
    <row r="21">
      <c r="A21" s="8" t="n">
        <v>17</v>
      </c>
      <c r="B21" s="9" t="inlineStr">
        <is>
          <t>Data and Analytics</t>
        </is>
      </c>
      <c r="C21" s="20" t="n">
        <v>9</v>
      </c>
      <c r="D21" s="56" t="n">
        <v>0.01046511627906977</v>
      </c>
      <c r="E21" s="57" t="n">
        <v>0.5</v>
      </c>
      <c r="F21" s="20" t="n">
        <v>18</v>
      </c>
      <c r="G21" s="11" t="n"/>
      <c r="H21" s="11" t="n"/>
      <c r="I21" s="11" t="n"/>
      <c r="J21" s="11" t="n"/>
      <c r="K21" s="11" t="n"/>
      <c r="L21" s="11" t="n"/>
      <c r="M21" s="11" t="n"/>
    </row>
    <row r="22">
      <c r="A22" s="8" t="n">
        <v>18</v>
      </c>
      <c r="B22" s="9" t="inlineStr">
        <is>
          <t>Logistics and Transportation</t>
        </is>
      </c>
      <c r="C22" s="20" t="n">
        <v>8</v>
      </c>
      <c r="D22" s="56" t="n">
        <v>0.009302325581395349</v>
      </c>
      <c r="E22" s="57" t="n">
        <v>0.5</v>
      </c>
      <c r="F22" s="20" t="n">
        <v>16</v>
      </c>
      <c r="G22" s="11" t="n"/>
      <c r="H22" s="11" t="n"/>
      <c r="I22" s="11" t="n"/>
      <c r="J22" s="11" t="n"/>
      <c r="K22" s="11" t="n"/>
      <c r="L22" s="11" t="n"/>
      <c r="M22" s="11" t="n"/>
    </row>
    <row r="23">
      <c r="A23" s="8" t="n">
        <v>19</v>
      </c>
      <c r="B23" s="9" t="inlineStr">
        <is>
          <t>Visual Merchandising</t>
        </is>
      </c>
      <c r="C23" s="20" t="n">
        <v>3</v>
      </c>
      <c r="D23" s="56" t="n">
        <v>0.003488372093023256</v>
      </c>
      <c r="E23" s="57" t="n">
        <v>0.5</v>
      </c>
      <c r="F23" s="20" t="n">
        <v>6</v>
      </c>
      <c r="G23" s="11" t="n"/>
      <c r="H23" s="11" t="n"/>
      <c r="I23" s="11" t="n"/>
      <c r="J23" s="11" t="n"/>
      <c r="K23" s="11" t="n"/>
      <c r="L23" s="11" t="n"/>
      <c r="M23" s="11" t="n"/>
    </row>
    <row r="24">
      <c r="B24" s="58" t="inlineStr">
        <is>
          <t>TOTAL</t>
        </is>
      </c>
      <c r="C24" s="47">
        <f>SUM(C5:C23)</f>
        <v/>
      </c>
      <c r="D24" s="48">
        <f>SUM(D5:D23)</f>
        <v/>
      </c>
      <c r="E24" s="59">
        <f>SUM(E5:E23)</f>
        <v/>
      </c>
      <c r="F24" s="60" t="inlineStr">
        <is>
          <t>of 19 pp</t>
        </is>
      </c>
    </row>
    <row r="25">
      <c r="B25" s="53" t="inlineStr">
        <is>
          <t>A 0.5-page category shares a page with the next one. PER PAGE is the number of provider entries the layout must fit on a page at that allocation.</t>
        </is>
      </c>
    </row>
    <row r="27" ht="32" customHeight="1" s="72">
      <c r="B27" s="71" t="inlineStr">
        <is>
          <t>CAMPAIGN — send the verification request to the category owner, log the date in OUTREACH SENT, chase at +7 and +14 days, and only move a provider to VERIFIED when the company itself confirms name, category, contact and website. Unverified providers carry over from 2026 with a 'record unconfirmed' marker rather than being dropped.</t>
        </is>
      </c>
    </row>
  </sheetData>
  <autoFilter ref="A4:M23"/>
  <mergeCells count="3">
    <mergeCell ref="B27:J27"/>
    <mergeCell ref="A1:F1"/>
    <mergeCell ref="A2:J2"/>
  </mergeCells>
  <dataValidations count="1">
    <dataValidation sqref="K5:K43" showDropDown="0" showInputMessage="0" showErrorMessage="0" allowBlank="1" type="list">
      <formula1>"Not Started,Outreach Sent,Reminder Sent,Replied,Verified,No Response,Dropped"</formula1>
    </dataValidation>
  </dataValidations>
  <pageMargins left="0.75" right="0.75" top="1" bottom="1" header="0.5" footer="0.5"/>
  <pageSetup orientation="landscape" fitToHeight="0"/>
</worksheet>
</file>

<file path=xl/worksheets/sheet7.xml><?xml version="1.0" encoding="utf-8"?>
<worksheet xmlns="http://schemas.openxmlformats.org/spreadsheetml/2006/main">
  <sheetPr>
    <outlinePr summaryBelow="1" summaryRight="1"/>
    <pageSetUpPr fitToPage="1"/>
  </sheetPr>
  <dimension ref="A1:P15"/>
  <sheetViews>
    <sheetView showGridLines="0"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4.25"/>
  <cols>
    <col width="7" customWidth="1" style="72" min="1" max="1"/>
    <col width="16" customWidth="1" style="72" min="2" max="2"/>
    <col width="12" customWidth="1" style="72" min="3" max="3"/>
    <col width="30" customWidth="1" style="72" min="4" max="4"/>
    <col width="24" customWidth="1" style="72" min="5" max="5"/>
    <col width="28" customWidth="1" style="72" min="6" max="6"/>
    <col width="40" customWidth="1" style="72" min="7" max="7"/>
    <col width="60" customWidth="1" style="72" min="8" max="8"/>
    <col width="14" customWidth="1" style="72" min="9" max="9"/>
    <col width="12" customWidth="1" style="72" min="10" max="10"/>
    <col width="16" customWidth="1" style="72" min="11" max="12"/>
    <col width="17" customWidth="1" style="72" min="13" max="13"/>
    <col width="16" customWidth="1" style="72" min="14" max="14"/>
    <col width="14" customWidth="1" style="72" min="15" max="15"/>
    <col width="30" customWidth="1" style="72" min="16" max="16"/>
  </cols>
  <sheetData>
    <row r="1" ht="17.65" customHeight="1" s="72">
      <c r="A1" s="73" t="inlineStr">
        <is>
          <t>06 · EXPERT VIEWS — pages 38–55</t>
        </is>
      </c>
    </row>
    <row r="2">
      <c r="A2" s="74" t="inlineStr">
        <is>
          <t>Nine contracted thought-leadership spreads with the 2027 author assigned. Titles are proposed; each is grounded in something the company has publicly done — check the dossier for the basis.</t>
        </is>
      </c>
    </row>
    <row r="4" ht="32" customHeight="1" s="72">
      <c r="A4" s="6" t="inlineStr">
        <is>
          <t>SLOT</t>
        </is>
      </c>
      <c r="B4" s="6" t="inlineStr">
        <is>
          <t>SLOT NAME</t>
        </is>
      </c>
      <c r="C4" s="6" t="inlineStr">
        <is>
          <t>2027 PAGES</t>
        </is>
      </c>
      <c r="D4" s="6" t="inlineStr">
        <is>
          <t>COMPANY</t>
        </is>
      </c>
      <c r="E4" s="6" t="inlineStr">
        <is>
          <t>AUTHOR</t>
        </is>
      </c>
      <c r="F4" s="6" t="inlineStr">
        <is>
          <t>JOB TITLE</t>
        </is>
      </c>
      <c r="G4" s="6" t="inlineStr">
        <is>
          <t>PROPOSED TITLE</t>
        </is>
      </c>
      <c r="H4" s="6" t="inlineStr">
        <is>
          <t>STANDFIRST</t>
        </is>
      </c>
      <c r="I4" s="7" t="inlineStr">
        <is>
          <t>TITLE AGREED</t>
        </is>
      </c>
      <c r="J4" s="7" t="inlineStr">
        <is>
          <t>WORD COUNT</t>
        </is>
      </c>
      <c r="K4" s="7" t="inlineStr">
        <is>
          <t>COPY RECEIVED</t>
        </is>
      </c>
      <c r="L4" s="7" t="inlineStr">
        <is>
          <t>HEADSHOT IN</t>
        </is>
      </c>
      <c r="M4" s="7" t="inlineStr">
        <is>
          <t>CONTENT STATUS</t>
        </is>
      </c>
      <c r="N4" s="7" t="inlineStr">
        <is>
          <t>DESIGN STATUS</t>
        </is>
      </c>
      <c r="O4" s="7" t="inlineStr">
        <is>
          <t>OWNER</t>
        </is>
      </c>
      <c r="P4" s="7" t="inlineStr">
        <is>
          <t>NOTES</t>
        </is>
      </c>
    </row>
    <row r="5" ht="30" customHeight="1" s="72">
      <c r="A5" s="20" t="n">
        <v>1</v>
      </c>
      <c r="B5" s="9" t="inlineStr">
        <is>
          <t>Expert View 01</t>
        </is>
      </c>
      <c r="C5" s="21" t="inlineStr">
        <is>
          <t>38-39</t>
        </is>
      </c>
      <c r="D5" s="9" t="inlineStr">
        <is>
          <t>Cenomi Centers</t>
        </is>
      </c>
      <c r="E5" s="8" t="inlineStr">
        <is>
          <t>Alison Rehill-Erguven</t>
        </is>
      </c>
      <c r="F5" s="8" t="inlineStr">
        <is>
          <t>Chief Executive Officer</t>
        </is>
      </c>
      <c r="G5" s="9" t="inlineStr">
        <is>
          <t>What Westfield Actually Changes</t>
        </is>
      </c>
      <c r="H5" s="9" t="inlineStr">
        <is>
          <t>A global brand licence is an operating discipline before it is a logo. On what had to change inside the business before the first Westfield centre could open in the Kingdom.</t>
        </is>
      </c>
      <c r="I5" s="11" t="n"/>
      <c r="J5" s="11" t="n"/>
      <c r="K5" s="11" t="n"/>
      <c r="L5" s="11" t="n"/>
      <c r="M5" s="11" t="n"/>
      <c r="N5" s="11" t="n"/>
      <c r="O5" s="11" t="n"/>
      <c r="P5" s="11" t="n"/>
    </row>
    <row r="6" ht="30" customHeight="1" s="72">
      <c r="A6" s="20" t="n">
        <v>2</v>
      </c>
      <c r="B6" s="9" t="inlineStr">
        <is>
          <t>Expert View 02</t>
        </is>
      </c>
      <c r="C6" s="21" t="inlineStr">
        <is>
          <t>40-41</t>
        </is>
      </c>
      <c r="D6" s="9" t="inlineStr">
        <is>
          <t>Knowledge Economic City</t>
        </is>
      </c>
      <c r="E6" s="8" t="inlineStr">
        <is>
          <t>Dr. Moath Al Yahya</t>
        </is>
      </c>
      <c r="F6" s="8" t="inlineStr">
        <is>
          <t>Chief Executive Officer</t>
        </is>
      </c>
      <c r="G6" s="9" t="inlineStr">
        <is>
          <t>Ten Million Visitors Who Did Not Come to Shop</t>
        </is>
      </c>
      <c r="H6" s="9" t="inlineStr">
        <is>
          <t>Madinah's demand anchor is pilgrimage. Why that makes retail underwriting in a faith-tourism city a different exercise from anywhere else in the region.</t>
        </is>
      </c>
      <c r="I6" s="11" t="n"/>
      <c r="J6" s="11" t="n"/>
      <c r="K6" s="11" t="n"/>
      <c r="L6" s="11" t="n"/>
      <c r="M6" s="11" t="n"/>
      <c r="N6" s="11" t="n"/>
      <c r="O6" s="11" t="n"/>
      <c r="P6" s="11" t="n"/>
    </row>
    <row r="7" ht="30" customHeight="1" s="72">
      <c r="A7" s="20" t="n">
        <v>3</v>
      </c>
      <c r="B7" s="9" t="inlineStr">
        <is>
          <t>Expert View 03</t>
        </is>
      </c>
      <c r="C7" s="21" t="inlineStr">
        <is>
          <t>42-43</t>
        </is>
      </c>
      <c r="D7" s="9" t="inlineStr">
        <is>
          <t>Azad Properties</t>
        </is>
      </c>
      <c r="E7" s="8" t="inlineStr">
        <is>
          <t>Ayman Al Burti</t>
        </is>
      </c>
      <c r="F7" s="8" t="inlineStr">
        <is>
          <t>Chief Executive Officer</t>
        </is>
      </c>
      <c r="G7" s="9" t="inlineStr">
        <is>
          <t>A Souq at 720,000 Square Metres</t>
        </is>
      </c>
      <c r="H7" s="9" t="inlineStr">
        <is>
          <t>Scale usually flattens the thing it scales. What Souq7 did to keep the format intact while making the economics work.</t>
        </is>
      </c>
      <c r="I7" s="11" t="n"/>
      <c r="J7" s="11" t="n"/>
      <c r="K7" s="11" t="n"/>
      <c r="L7" s="11" t="n"/>
      <c r="M7" s="11" t="n"/>
      <c r="N7" s="11" t="n"/>
      <c r="O7" s="11" t="n"/>
      <c r="P7" s="11" t="n"/>
    </row>
    <row r="8" ht="30" customHeight="1" s="72">
      <c r="A8" s="20" t="n">
        <v>4</v>
      </c>
      <c r="B8" s="9" t="inlineStr">
        <is>
          <t>Expert View 04</t>
        </is>
      </c>
      <c r="C8" s="21" t="inlineStr">
        <is>
          <t>44-45</t>
        </is>
      </c>
      <c r="D8" s="9" t="inlineStr">
        <is>
          <t>Red Sea Malls</t>
        </is>
      </c>
      <c r="E8" s="8" t="inlineStr">
        <is>
          <t>Ibrahim Al Qasmi</t>
        </is>
      </c>
      <c r="F8" s="8" t="inlineStr">
        <is>
          <t>Chief Executive Officer</t>
        </is>
      </c>
      <c r="G8" s="9" t="inlineStr">
        <is>
          <t>Twenty Years In, and Trading Better</t>
        </is>
      </c>
      <c r="H8" s="9" t="inlineStr">
        <is>
          <t>The case for reworking 10,000 sqm of an existing centre rather than building 100,000 new ones — and what the wellness and beauty categories did to dwell time.</t>
        </is>
      </c>
      <c r="I8" s="11" t="n"/>
      <c r="J8" s="11" t="n"/>
      <c r="K8" s="11" t="n"/>
      <c r="L8" s="11" t="n"/>
      <c r="M8" s="11" t="n"/>
      <c r="N8" s="11" t="n"/>
      <c r="O8" s="11" t="n"/>
      <c r="P8" s="11" t="n"/>
    </row>
    <row r="9" ht="30" customHeight="1" s="72">
      <c r="A9" s="20" t="n">
        <v>5</v>
      </c>
      <c r="B9" s="9" t="inlineStr">
        <is>
          <t>Expert View 05</t>
        </is>
      </c>
      <c r="C9" s="21" t="inlineStr">
        <is>
          <t>46-47</t>
        </is>
      </c>
      <c r="D9" s="9" t="inlineStr">
        <is>
          <t>Danah Real Estate</t>
        </is>
      </c>
      <c r="E9" s="8" t="inlineStr">
        <is>
          <t>Yasser Al Kaltham</t>
        </is>
      </c>
      <c r="F9" s="8" t="inlineStr">
        <is>
          <t>Chief Commercial Officer</t>
        </is>
      </c>
      <c r="G9" s="9" t="inlineStr">
        <is>
          <t>Renovating a Mall That Never Closes</t>
        </is>
      </c>
      <c r="H9" s="9" t="inlineStr">
        <is>
          <t>Al Rashid Mall has been rebuilt around its shoppers since February 2023 without shutting a single trading day. The operational cost of that decision, and why it was still the right one.</t>
        </is>
      </c>
      <c r="I9" s="11" t="n"/>
      <c r="J9" s="11" t="n"/>
      <c r="K9" s="11" t="n"/>
      <c r="L9" s="11" t="n"/>
      <c r="M9" s="11" t="n"/>
      <c r="N9" s="11" t="n"/>
      <c r="O9" s="11" t="n"/>
      <c r="P9" s="11" t="n"/>
    </row>
    <row r="10" ht="30" customHeight="1" s="72">
      <c r="A10" s="20" t="n">
        <v>6</v>
      </c>
      <c r="B10" s="9" t="inlineStr">
        <is>
          <t>Expert View 06</t>
        </is>
      </c>
      <c r="C10" s="21" t="inlineStr">
        <is>
          <t>48-49</t>
        </is>
      </c>
      <c r="D10" s="9" t="inlineStr">
        <is>
          <t>Yardi Systems</t>
        </is>
      </c>
      <c r="E10" s="8" t="inlineStr">
        <is>
          <t>Neal Gemassmer</t>
        </is>
      </c>
      <c r="F10" s="8" t="inlineStr">
        <is>
          <t>VP &amp; General Manager, International</t>
        </is>
      </c>
      <c r="G10" s="9" t="inlineStr">
        <is>
          <t>There Is No AI Without One Set of Numbers</t>
        </is>
      </c>
      <c r="H10" s="9" t="inlineStr">
        <is>
          <t>Most landlords are three systems away from being able to use the tools they are being sold. On what a single source of truth actually requires.</t>
        </is>
      </c>
      <c r="I10" s="11" t="n"/>
      <c r="J10" s="11" t="n"/>
      <c r="K10" s="11" t="n"/>
      <c r="L10" s="11" t="n"/>
      <c r="M10" s="11" t="n"/>
      <c r="N10" s="11" t="n"/>
      <c r="O10" s="11" t="n"/>
      <c r="P10" s="11" t="n"/>
    </row>
    <row r="11" ht="30" customHeight="1" s="72">
      <c r="A11" s="20" t="n">
        <v>7</v>
      </c>
      <c r="B11" s="9" t="inlineStr">
        <is>
          <t>Expert View 07</t>
        </is>
      </c>
      <c r="C11" s="21" t="inlineStr">
        <is>
          <t>50-51</t>
        </is>
      </c>
      <c r="D11" s="9" t="inlineStr">
        <is>
          <t>MRI Software</t>
        </is>
      </c>
      <c r="E11" s="8" t="inlineStr">
        <is>
          <t>Robert Stringer</t>
        </is>
      </c>
      <c r="F11" s="8" t="inlineStr">
        <is>
          <t>Managing Director, Middle East</t>
        </is>
      </c>
      <c r="G11" s="9" t="inlineStr">
        <is>
          <t>Software That Knows Where It Is</t>
        </is>
      </c>
      <c r="H11" s="9" t="inlineStr">
        <is>
          <t>Why regional property platforms fail when they are localised as an afterthought, and what changed when the engineering moved closer to the market.</t>
        </is>
      </c>
      <c r="I11" s="11" t="n"/>
      <c r="J11" s="11" t="n"/>
      <c r="K11" s="11" t="n"/>
      <c r="L11" s="11" t="n"/>
      <c r="M11" s="11" t="n"/>
      <c r="N11" s="11" t="n"/>
      <c r="O11" s="11" t="n"/>
      <c r="P11" s="11" t="n"/>
    </row>
    <row r="12" ht="30" customHeight="1" s="72">
      <c r="A12" s="20" t="n">
        <v>8</v>
      </c>
      <c r="B12" s="9" t="inlineStr">
        <is>
          <t>Expert View 08</t>
        </is>
      </c>
      <c r="C12" s="21" t="inlineStr">
        <is>
          <t>52-53</t>
        </is>
      </c>
      <c r="D12" s="9" t="inlineStr">
        <is>
          <t>LuckyOne Mall</t>
        </is>
      </c>
      <c r="E12" s="8" t="inlineStr">
        <is>
          <t>Saad Zuberi</t>
        </is>
      </c>
      <c r="F12" s="8" t="inlineStr">
        <is>
          <t>Chief Executive Officer</t>
        </is>
      </c>
      <c r="G12" s="9" t="inlineStr">
        <is>
          <t>From Mall to District</t>
        </is>
      </c>
      <c r="H12" s="9" t="inlineStr">
        <is>
          <t>Pakistan's largest centre is becoming a mixed-use address. What eight residential towers on the same podium do to a retail operating model.</t>
        </is>
      </c>
      <c r="I12" s="11" t="n"/>
      <c r="J12" s="11" t="n"/>
      <c r="K12" s="11" t="n"/>
      <c r="L12" s="11" t="n"/>
      <c r="M12" s="11" t="n"/>
      <c r="N12" s="11" t="n"/>
      <c r="O12" s="11" t="n"/>
      <c r="P12" s="11" t="n"/>
    </row>
    <row r="13" ht="30" customHeight="1" s="72">
      <c r="A13" s="20" t="n">
        <v>9</v>
      </c>
      <c r="B13" s="9" t="inlineStr">
        <is>
          <t>Expert View 09</t>
        </is>
      </c>
      <c r="C13" s="21" t="inlineStr">
        <is>
          <t>54-55</t>
        </is>
      </c>
      <c r="D13" s="9" t="inlineStr">
        <is>
          <t>Heartatwork Hospitality Consulting</t>
        </is>
      </c>
      <c r="E13" s="8" t="inlineStr">
        <is>
          <t>Will Odwarka</t>
        </is>
      </c>
      <c r="F13" s="8" t="inlineStr">
        <is>
          <t>Founder &amp; Chief Executive Officer</t>
        </is>
      </c>
      <c r="G13" s="9" t="inlineStr">
        <is>
          <t>The Food Court Is Dead. Long Live the Food Court.</t>
        </is>
      </c>
      <c r="H13" s="9" t="inlineStr">
        <is>
          <t>Landlords keep leasing F&amp;B as though it were retail with a kitchen. Thirty years and a thousand openings say otherwise.</t>
        </is>
      </c>
      <c r="I13" s="11" t="n"/>
      <c r="J13" s="11" t="n"/>
      <c r="K13" s="11" t="n"/>
      <c r="L13" s="11" t="n"/>
      <c r="M13" s="11" t="n"/>
      <c r="N13" s="11" t="n"/>
      <c r="O13" s="11" t="n"/>
      <c r="P13" s="11" t="n"/>
    </row>
    <row r="15" ht="34.05" customHeight="1" s="72">
      <c r="B15" s="71" t="inlineStr">
        <is>
          <t>Spec — 900-1,100 words for a two-page spread, plus an author headshot at 1200px minimum and two supporting images at 300dpi. Three author names still need confirming before print: Al Othaim's CEO is contradictory across sources, KEC changed CEO mid-2026, and Unified publishes no named executive.</t>
        </is>
      </c>
    </row>
  </sheetData>
  <autoFilter ref="A4:P13"/>
  <mergeCells count="3">
    <mergeCell ref="B15:J15"/>
    <mergeCell ref="A1:F1"/>
    <mergeCell ref="A2:J2"/>
  </mergeCells>
  <dataValidations count="2">
    <dataValidation sqref="M5:M33" showDropDown="0" showInputMessage="0" showErrorMessage="0" allowBlank="1" type="list">
      <formula1>"Not Started,Commissioned,Chasing,Copy Received,Approved"</formula1>
    </dataValidation>
    <dataValidation sqref="N5:N33" showDropDown="0" showInputMessage="0" showErrorMessage="0" allowBlank="1" type="list">
      <formula1>"Not Started,In Design,First Proof,Corrections,Signed Off,Print-Ready"</formula1>
    </dataValidation>
  </dataValidations>
  <pageMargins left="0.75" right="0.75" top="1" bottom="1" header="0.5" footer="0.5"/>
  <pageSetup orientation="landscape" fitToHeight="0"/>
</worksheet>
</file>

<file path=xl/worksheets/sheet8.xml><?xml version="1.0" encoding="utf-8"?>
<worksheet xmlns="http://schemas.openxmlformats.org/spreadsheetml/2006/main">
  <sheetPr>
    <outlinePr summaryBelow="1" summaryRight="1"/>
    <pageSetUpPr/>
  </sheetPr>
  <dimension ref="A1:U69"/>
  <sheetViews>
    <sheetView zoomScale="90"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5" customWidth="1" style="72" min="1" max="1"/>
    <col width="14" customWidth="1" style="72" min="2" max="2"/>
    <col width="30" customWidth="1" style="72" min="3" max="3"/>
    <col width="16" customWidth="1" style="72" min="4" max="4"/>
    <col width="13" customWidth="1" style="72" min="5" max="5"/>
    <col width="26" customWidth="1" style="72" min="6" max="6"/>
    <col width="28" customWidth="1" style="72" min="7" max="7"/>
    <col width="20" customWidth="1" style="72" min="8" max="8"/>
    <col width="24" customWidth="1" style="72" min="9" max="9"/>
    <col width="46" customWidth="1" style="72" min="10" max="10"/>
    <col width="40" customWidth="1" style="72" min="11" max="11"/>
    <col width="10" customWidth="1" style="72" min="12" max="12"/>
    <col width="11" customWidth="1" style="72" min="13" max="13"/>
    <col width="11" customWidth="1" style="72" min="14" max="14"/>
    <col width="8" customWidth="1" style="72" min="15" max="15"/>
    <col width="30" customWidth="1" style="72" min="16" max="16"/>
    <col width="26" customWidth="1" style="72" min="17" max="17"/>
    <col width="40" customWidth="1" style="72" min="18" max="18"/>
    <col width="13" customWidth="1" style="72" min="19" max="19"/>
    <col width="14" customWidth="1" style="72" min="20" max="20"/>
    <col width="30" customWidth="1" style="72" min="21" max="21"/>
  </cols>
  <sheetData>
    <row r="1" ht="17.65" customHeight="1" s="72">
      <c r="A1" s="73" t="inlineStr">
        <is>
          <t>10 · INTEL — NEW PROPERTIES &amp; PIPELINE</t>
        </is>
      </c>
    </row>
    <row r="2" ht="30" customHeight="1" s="72">
      <c r="A2" s="76" t="inlineStr">
        <is>
          <t>63 malls and schemes named in the MECSR intel reports of 16 Jun – 25 Sep 2026 that the 2027 dataset does not list: 7 to add now, 17 for the pipeline, 10 to check first, 26 to watch and 3 out of scope. Verify each with a second source before it enters the master dataset.</t>
        </is>
      </c>
    </row>
    <row r="4" ht="32" customHeight="1" s="72">
      <c r="A4" s="6" t="inlineStr">
        <is>
          <t>SN</t>
        </is>
      </c>
      <c r="B4" s="6" t="inlineStr">
        <is>
          <t>ACTION</t>
        </is>
      </c>
      <c r="C4" s="6" t="inlineStr">
        <is>
          <t>PROPERTY</t>
        </is>
      </c>
      <c r="D4" s="6" t="inlineStr">
        <is>
          <t>CITY</t>
        </is>
      </c>
      <c r="E4" s="6" t="inlineStr">
        <is>
          <t>COUNTRY</t>
        </is>
      </c>
      <c r="F4" s="6" t="inlineStr">
        <is>
          <t>DEVELOPER / OWNER</t>
        </is>
      </c>
      <c r="G4" s="6" t="inlineStr">
        <is>
          <t>STATUS</t>
        </is>
      </c>
      <c r="H4" s="6" t="inlineStr">
        <is>
          <t>OPENING</t>
        </is>
      </c>
      <c r="I4" s="6" t="inlineStr">
        <is>
          <t>SIZE (AS REPORTED)</t>
        </is>
      </c>
      <c r="J4" s="6" t="inlineStr">
        <is>
          <t>WHAT THE INTEL SAYS</t>
        </is>
      </c>
      <c r="K4" s="6" t="inlineStr">
        <is>
          <t>DIRECTORY CHECK</t>
        </is>
      </c>
      <c r="L4" s="6" t="inlineStr">
        <is>
          <t>LISTING PAGES</t>
        </is>
      </c>
      <c r="M4" s="6" t="inlineStr">
        <is>
          <t>FIRST SEEN</t>
        </is>
      </c>
      <c r="N4" s="6" t="inlineStr">
        <is>
          <t>LAST SEEN</t>
        </is>
      </c>
      <c r="O4" s="6" t="inlineStr">
        <is>
          <t>REPORTS</t>
        </is>
      </c>
      <c r="P4" s="6" t="inlineStr">
        <is>
          <t>SOURCES</t>
        </is>
      </c>
      <c r="Q4" s="6" t="inlineStr">
        <is>
          <t>LINK</t>
        </is>
      </c>
      <c r="R4" s="6" t="inlineStr">
        <is>
          <t>NEXT STEP</t>
        </is>
      </c>
      <c r="S4" s="7" t="inlineStr">
        <is>
          <t>VERIFIED</t>
        </is>
      </c>
      <c r="T4" s="7" t="inlineStr">
        <is>
          <t>ASSIGNED TO</t>
        </is>
      </c>
      <c r="U4" s="7" t="inlineStr">
        <is>
          <t>NOTES</t>
        </is>
      </c>
    </row>
    <row r="5">
      <c r="A5" s="77" t="n">
        <v>1</v>
      </c>
      <c r="B5" s="78" t="inlineStr">
        <is>
          <t>Add now</t>
        </is>
      </c>
      <c r="C5" s="77" t="inlineStr">
        <is>
          <t>AZ Mall Grand Mosta</t>
        </is>
      </c>
      <c r="D5" s="77" t="inlineStr">
        <is>
          <t>Mostaganem</t>
        </is>
      </c>
      <c r="E5" s="77" t="inlineStr">
        <is>
          <t>Algeria</t>
        </is>
      </c>
      <c r="F5" s="77" t="inlineStr">
        <is>
          <t>Not named (investment registered with AAPI)</t>
        </is>
      </c>
      <c r="G5" s="77" t="inlineStr">
        <is>
          <t>Open (reported 2 Sep 2026)</t>
        </is>
      </c>
      <c r="H5" s="77" t="inlineStr">
        <is>
          <t>Sep 2026</t>
        </is>
      </c>
      <c r="I5" s="77" t="inlineStr">
        <is>
          <t>Investment above DZD 8bn</t>
        </is>
      </c>
      <c r="J5" s="77" t="inlineStr">
        <is>
          <t>Billed as Algeria's largest shopping centre, per the national investment promotion agency.</t>
        </is>
      </c>
      <c r="K5" s="77" t="inlineStr">
        <is>
          <t>Not listed (Algeria has 14 listings, pp 83–85).</t>
        </is>
      </c>
      <c r="L5" s="77" t="inlineStr">
        <is>
          <t>83–85</t>
        </is>
      </c>
      <c r="M5" s="77" t="inlineStr">
        <is>
          <t>2026-09-02</t>
        </is>
      </c>
      <c r="N5" s="77" t="inlineStr">
        <is>
          <t>2026-09-03</t>
        </is>
      </c>
      <c r="O5" s="77" t="n">
        <v>2</v>
      </c>
      <c r="P5" s="77" t="inlineStr">
        <is>
          <t>Algérie Presse Service (APS, official state news agency); Algérie Presse Service; MECSR intel skip log</t>
        </is>
      </c>
      <c r="Q5" s="79" t="inlineStr">
        <is>
          <t>aps.dz</t>
        </is>
      </c>
      <c r="R5" s="77" t="inlineStr">
        <is>
          <t>Confirm GLA and tenant mix from a second source.</t>
        </is>
      </c>
      <c r="S5" s="80" t="inlineStr">
        <is>
          <t>Not Started</t>
        </is>
      </c>
      <c r="T5" s="80" t="inlineStr"/>
      <c r="U5" s="80" t="inlineStr"/>
    </row>
    <row r="6">
      <c r="A6" s="77" t="n">
        <v>2</v>
      </c>
      <c r="B6" s="78" t="inlineStr">
        <is>
          <t>Add now</t>
        </is>
      </c>
      <c r="C6" s="77" t="inlineStr">
        <is>
          <t>Bishkek Arena Mall</t>
        </is>
      </c>
      <c r="D6" s="77" t="inlineStr">
        <is>
          <t>Bishkek</t>
        </is>
      </c>
      <c r="E6" s="77" t="inlineStr">
        <is>
          <t>Kyrgyzstan</t>
        </is>
      </c>
      <c r="F6" s="77" t="inlineStr">
        <is>
          <t>Not named</t>
        </is>
      </c>
      <c r="G6" s="77" t="inlineStr">
        <is>
          <t>Opening — public launch planned for late Sep 2026</t>
        </is>
      </c>
      <c r="H6" s="77" t="inlineStr">
        <is>
          <t>Sep 2026</t>
        </is>
      </c>
      <c r="I6" s="77" t="inlineStr">
        <is>
          <t>Three storeys</t>
        </is>
      </c>
      <c r="J6" s="77" t="inlineStr">
        <is>
          <t>Retail complex built inside and alongside the Bishkek Arena stadium; retail-space sales began 1 Apr 2026.</t>
        </is>
      </c>
      <c r="K6" s="77" t="inlineStr">
        <is>
          <t>Not listed (Kyrgyzstan has 4 listings, pp 163–165).</t>
        </is>
      </c>
      <c r="L6" s="77" t="inlineStr">
        <is>
          <t>163–165</t>
        </is>
      </c>
      <c r="M6" s="77" t="inlineStr">
        <is>
          <t>2026-09-03</t>
        </is>
      </c>
      <c r="N6" s="77" t="inlineStr">
        <is>
          <t>2026-09-04</t>
        </is>
      </c>
      <c r="O6" s="77" t="n">
        <v>2</v>
      </c>
      <c r="P6" s="77" t="inlineStr">
        <is>
          <t>AKIpress; MTS.kg (16 Mar 2026); Akchabar</t>
        </is>
      </c>
      <c r="Q6" s="79" t="inlineStr">
        <is>
          <t>akipress.com</t>
        </is>
      </c>
      <c r="R6" s="77" t="inlineStr">
        <is>
          <t>Confirm it opened; get GLA and operator.</t>
        </is>
      </c>
      <c r="S6" s="80" t="inlineStr">
        <is>
          <t>Not Started</t>
        </is>
      </c>
      <c r="T6" s="80" t="inlineStr"/>
      <c r="U6" s="80" t="inlineStr"/>
    </row>
    <row r="7">
      <c r="A7" s="77" t="n">
        <v>3</v>
      </c>
      <c r="B7" s="78" t="inlineStr">
        <is>
          <t>Add now</t>
        </is>
      </c>
      <c r="C7" s="77" t="inlineStr">
        <is>
          <t>First Mall, Tripoli</t>
        </is>
      </c>
      <c r="D7" s="77" t="inlineStr">
        <is>
          <t>Tripoli</t>
        </is>
      </c>
      <c r="E7" s="77" t="inlineStr">
        <is>
          <t>Libya</t>
        </is>
      </c>
      <c r="F7" s="77" t="inlineStr">
        <is>
          <t>Al-Sahl Holding Group</t>
        </is>
      </c>
      <c r="G7" s="77" t="inlineStr">
        <is>
          <t>Open since 26 Jun 2026</t>
        </is>
      </c>
      <c r="H7" s="77" t="inlineStr">
        <is>
          <t>26 Jun 2026</t>
        </is>
      </c>
      <c r="I7" s="77" t="inlineStr">
        <is>
          <t>136,000 sqm on a 6-ha site · 220+ outlets</t>
        </is>
      </c>
      <c r="J7" s="77" t="inlineStr">
        <is>
          <t>Libya's largest shopping mall, opened after more than 15 years of stop-start construction. Beurer opened its first official Libyan store inside in Sep 2026.</t>
        </is>
      </c>
      <c r="K7" s="77" t="inlineStr">
        <is>
          <t>Not listed (Libya has 5 listings, pp 172–173). Keep it distinct from Zumurrud Investment Mall (p173), whose 135,000 sqm is close to First Mall's figure.</t>
        </is>
      </c>
      <c r="L7" s="77" t="inlineStr">
        <is>
          <t>172–173</t>
        </is>
      </c>
      <c r="M7" s="77" t="inlineStr">
        <is>
          <t>2026-07-06</t>
        </is>
      </c>
      <c r="N7" s="77" t="inlineStr">
        <is>
          <t>2026-09-03</t>
        </is>
      </c>
      <c r="O7" s="77" t="n">
        <v>4</v>
      </c>
      <c r="P7" s="77" t="inlineStr">
        <is>
          <t>Libya Herald; MECSR intel skip log</t>
        </is>
      </c>
      <c r="Q7" s="79" t="inlineStr">
        <is>
          <t>libyaherald.com</t>
        </is>
      </c>
      <c r="R7" s="77" t="inlineStr">
        <is>
          <t>Add to Libya; ask Al-Sahl for GLA as distinct from total area.</t>
        </is>
      </c>
      <c r="S7" s="80" t="inlineStr">
        <is>
          <t>Not Started</t>
        </is>
      </c>
      <c r="T7" s="80" t="inlineStr"/>
      <c r="U7" s="80" t="inlineStr"/>
    </row>
    <row r="8">
      <c r="A8" s="77" t="n">
        <v>4</v>
      </c>
      <c r="B8" s="78" t="inlineStr">
        <is>
          <t>Add now</t>
        </is>
      </c>
      <c r="C8" s="77" t="inlineStr">
        <is>
          <t>Downtown Souq, Al Khor</t>
        </is>
      </c>
      <c r="D8" s="77" t="inlineStr">
        <is>
          <t>Al Khor</t>
        </is>
      </c>
      <c r="E8" s="77" t="inlineStr">
        <is>
          <t>Qatar</t>
        </is>
      </c>
      <c r="F8" s="77" t="inlineStr">
        <is>
          <t>Not named in coverage</t>
        </is>
      </c>
      <c r="G8" s="77" t="inlineStr">
        <is>
          <t>Open (reported 3 Aug 2026)</t>
        </is>
      </c>
      <c r="H8" s="77" t="inlineStr">
        <is>
          <t>2026</t>
        </is>
      </c>
      <c r="I8" s="77" t="inlineStr">
        <is>
          <t>300+ retail outlets</t>
        </is>
      </c>
      <c r="J8" s="77" t="inlineStr">
        <is>
          <t>Indoor souq-style mall; the second mall in Al Khor.</t>
        </is>
      </c>
      <c r="K8" s="77" t="inlineStr">
        <is>
          <t>Not listed. Separate from Al Khor Mall (p203).</t>
        </is>
      </c>
      <c r="L8" s="77" t="inlineStr">
        <is>
          <t>200–205</t>
        </is>
      </c>
      <c r="M8" s="77" t="inlineStr">
        <is>
          <t>2026-08-03</t>
        </is>
      </c>
      <c r="N8" s="77" t="inlineStr">
        <is>
          <t>2026-08-03</t>
        </is>
      </c>
      <c r="O8" s="77" t="n">
        <v>1</v>
      </c>
      <c r="P8" s="77" t="inlineStr">
        <is>
          <t>ILoveQatar.net / Marhaba Qatar; ILoveQatar.net</t>
        </is>
      </c>
      <c r="Q8" s="79" t="inlineStr">
        <is>
          <t>iloveqatar.net</t>
        </is>
      </c>
      <c r="R8" s="77" t="inlineStr">
        <is>
          <t>Get developer, GLA and opening date from a second source.</t>
        </is>
      </c>
      <c r="S8" s="80" t="inlineStr">
        <is>
          <t>Not Started</t>
        </is>
      </c>
      <c r="T8" s="80" t="inlineStr"/>
      <c r="U8" s="80" t="inlineStr"/>
    </row>
    <row r="9">
      <c r="A9" s="77" t="n">
        <v>5</v>
      </c>
      <c r="B9" s="78" t="inlineStr">
        <is>
          <t>Add now</t>
        </is>
      </c>
      <c r="C9" s="77" t="inlineStr">
        <is>
          <t>Koru Florya AVM</t>
        </is>
      </c>
      <c r="D9" s="77" t="inlineStr">
        <is>
          <t>Istanbul (Florya)</t>
        </is>
      </c>
      <c r="E9" s="77" t="inlineStr">
        <is>
          <t>Türkiye</t>
        </is>
      </c>
      <c r="F9" s="77" t="inlineStr">
        <is>
          <t>Not disclosed</t>
        </is>
      </c>
      <c r="G9" s="77" t="inlineStr">
        <is>
          <t>Open since 30 Aug 2026</t>
        </is>
      </c>
      <c r="H9" s="77" t="inlineStr">
        <is>
          <t>30 Aug 2026</t>
        </is>
      </c>
      <c r="I9" s="77" t="inlineStr">
        <is>
          <t>3 levels · 220+ brands</t>
        </is>
      </c>
      <c r="J9" s="77" t="inlineStr">
        <is>
          <t>Shopping and lifestyle centre with shuttle links to the E5, Metrobüs and Marmaray.</t>
        </is>
      </c>
      <c r="K9" s="77" t="inlineStr">
        <is>
          <t>Not listed. Aqua Florya (p251) is a different centre.</t>
        </is>
      </c>
      <c r="L9" s="77" t="inlineStr">
        <is>
          <t>245–260</t>
        </is>
      </c>
      <c r="M9" s="77" t="inlineStr">
        <is>
          <t>2026-09-01</t>
        </is>
      </c>
      <c r="N9" s="77" t="inlineStr">
        <is>
          <t>2026-09-01</t>
        </is>
      </c>
      <c r="O9" s="77" t="n">
        <v>1</v>
      </c>
      <c r="P9" s="77" t="inlineStr">
        <is>
          <t>Mall Report; Emlak Haber Ajansı; Emlak Manşet</t>
        </is>
      </c>
      <c r="Q9" s="79" t="inlineStr">
        <is>
          <t>mallreport.com.tr</t>
        </is>
      </c>
      <c r="R9" s="77" t="inlineStr">
        <is>
          <t>Developer, owner and GLA were not in the opening coverage — ask the mall.</t>
        </is>
      </c>
      <c r="S9" s="80" t="inlineStr">
        <is>
          <t>Not Started</t>
        </is>
      </c>
      <c r="T9" s="80" t="inlineStr"/>
      <c r="U9" s="80" t="inlineStr"/>
    </row>
    <row r="10">
      <c r="A10" s="77" t="n">
        <v>6</v>
      </c>
      <c r="B10" s="78" t="inlineStr">
        <is>
          <t>Add now</t>
        </is>
      </c>
      <c r="C10" s="77" t="inlineStr">
        <is>
          <t>Maximum Life Eryaman</t>
        </is>
      </c>
      <c r="D10" s="77" t="inlineStr">
        <is>
          <t>Ankara</t>
        </is>
      </c>
      <c r="E10" s="77" t="inlineStr">
        <is>
          <t>Türkiye</t>
        </is>
      </c>
      <c r="F10" s="77" t="inlineStr">
        <is>
          <t>Not named</t>
        </is>
      </c>
      <c r="G10" s="77" t="inlineStr">
        <is>
          <t>Launched (reported 3 Jul 2026)</t>
        </is>
      </c>
      <c r="H10" s="77" t="inlineStr">
        <is>
          <t>2026</t>
        </is>
      </c>
      <c r="I10" s="77" t="inlineStr">
        <is>
          <t>38,000 sqm open-plan lifestyle centre</t>
        </is>
      </c>
      <c r="J10" s="77" t="inlineStr">
        <is>
          <t>One of the five new AVMs (~212,000 sqm in total) AYD expects in 2026.</t>
        </is>
      </c>
      <c r="K10" s="77" t="inlineStr">
        <is>
          <t>Not listed.</t>
        </is>
      </c>
      <c r="L10" s="77" t="inlineStr">
        <is>
          <t>245–260</t>
        </is>
      </c>
      <c r="M10" s="77" t="inlineStr">
        <is>
          <t>2026-07-03</t>
        </is>
      </c>
      <c r="N10" s="77" t="inlineStr">
        <is>
          <t>2026-07-03</t>
        </is>
      </c>
      <c r="O10" s="77" t="n">
        <v>1</v>
      </c>
      <c r="P10" s="77" t="inlineStr">
        <is>
          <t>GlobeNewswire; Hürriyet Daily News</t>
        </is>
      </c>
      <c r="Q10" s="79" t="inlineStr">
        <is>
          <t>globenewswire.com</t>
        </is>
      </c>
      <c r="R10" s="77" t="inlineStr">
        <is>
          <t>Confirm operator and opening date.</t>
        </is>
      </c>
      <c r="S10" s="80" t="inlineStr">
        <is>
          <t>Not Started</t>
        </is>
      </c>
      <c r="T10" s="80" t="inlineStr"/>
      <c r="U10" s="80" t="inlineStr"/>
    </row>
    <row r="11">
      <c r="A11" s="77" t="n">
        <v>7</v>
      </c>
      <c r="B11" s="78" t="inlineStr">
        <is>
          <t>Add now</t>
        </is>
      </c>
      <c r="C11" s="77" t="inlineStr">
        <is>
          <t>The Grand, Nad Al Sheba Gardens</t>
        </is>
      </c>
      <c r="D11" s="77" t="inlineStr">
        <is>
          <t>Dubai</t>
        </is>
      </c>
      <c r="E11" s="77" t="inlineStr">
        <is>
          <t>UAE</t>
        </is>
      </c>
      <c r="F11" s="77" t="inlineStr">
        <is>
          <t>Shamal Holding (with Meraas)</t>
        </is>
      </c>
      <c r="G11" s="77" t="inlineStr">
        <is>
          <t>Open — Phase 1 since 19 Aug 2026; fully leased</t>
        </is>
      </c>
      <c r="H11" s="77" t="inlineStr">
        <is>
          <t>19 Aug 2026 (Ph 1) · Ph 2 early Sep 2026 · wellness wing early 2027</t>
        </is>
      </c>
      <c r="I11" s="77" t="inlineStr">
        <is>
          <t>339,000 sq ft · 35 retail &amp; F&amp;B outlets</t>
        </is>
      </c>
      <c r="J11" s="77" t="inlineStr">
        <is>
          <t>Supermarket-led community centre anchored by the first Waitrose &amp; Partners in Nad Al Sheba, with MMI, Al Jaber Optical, a gym, play courts, indoor entertainment and wellness tenants.</t>
        </is>
      </c>
      <c r="K11" s="77" t="inlineStr">
        <is>
          <t>Not in the print dataset or on Brilliant. Not the same as Nad Al Sheba Mall (p266). Some reports call it 'NAS Gardens Community Mall' — settle the name first.</t>
        </is>
      </c>
      <c r="L11" s="77" t="inlineStr">
        <is>
          <t>261–295</t>
        </is>
      </c>
      <c r="M11" s="77" t="inlineStr">
        <is>
          <t>2026-06-22</t>
        </is>
      </c>
      <c r="N11" s="77" t="inlineStr">
        <is>
          <t>2026-09-08</t>
        </is>
      </c>
      <c r="O11" s="77" t="n">
        <v>12</v>
      </c>
      <c r="P11" s="77" t="inlineStr">
        <is>
          <t>Arabian Business; Time Out Dubai; Shamal IR; Gulf News</t>
        </is>
      </c>
      <c r="Q11" s="79" t="inlineStr">
        <is>
          <t>arabianbusiness.com</t>
        </is>
      </c>
      <c r="R11" s="77" t="inlineStr">
        <is>
          <t>Confirm trading name, GLA in sqm and owner with Shamal; the 339,000 sq ft figure is also quoted for Sobha Hartland, so treat it as unverified.</t>
        </is>
      </c>
      <c r="S11" s="80" t="inlineStr">
        <is>
          <t>Not Started</t>
        </is>
      </c>
      <c r="T11" s="80" t="inlineStr"/>
      <c r="U11" s="80" t="inlineStr"/>
    </row>
    <row r="12">
      <c r="A12" s="77" t="n">
        <v>8</v>
      </c>
      <c r="B12" s="81" t="inlineStr">
        <is>
          <t>Add to pipeline</t>
        </is>
      </c>
      <c r="C12" s="77" t="inlineStr">
        <is>
          <t>Əhmədli Mall, Baku</t>
        </is>
      </c>
      <c r="D12" s="77" t="inlineStr">
        <is>
          <t>Baku</t>
        </is>
      </c>
      <c r="E12" s="77" t="inlineStr">
        <is>
          <t>Azerbaijan</t>
        </is>
      </c>
      <c r="F12" s="77" t="inlineStr">
        <is>
          <t>Not named</t>
        </is>
      </c>
      <c r="G12" s="77" t="inlineStr">
        <is>
          <t>Under construction</t>
        </is>
      </c>
      <c r="H12" s="77" t="inlineStr">
        <is>
          <t>Early 2027</t>
        </is>
      </c>
      <c r="I12" s="77" t="inlineStr">
        <is>
          <t>—</t>
        </is>
      </c>
      <c r="J12" s="77" t="inlineStr">
        <is>
          <t>Being built on the site of the Bravo hypermarket in the Əhmədli district.</t>
        </is>
      </c>
      <c r="K12" s="77" t="inlineStr">
        <is>
          <t>Not listed (Azerbaijan has 16 listings, pp 88–91).</t>
        </is>
      </c>
      <c r="L12" s="77" t="inlineStr">
        <is>
          <t>88–91</t>
        </is>
      </c>
      <c r="M12" s="77" t="inlineStr">
        <is>
          <t>2026-09-03</t>
        </is>
      </c>
      <c r="N12" s="77" t="inlineStr">
        <is>
          <t>2026-09-03</t>
        </is>
      </c>
      <c r="O12" s="77" t="n">
        <v>1</v>
      </c>
      <c r="P12" s="77" t="inlineStr">
        <is>
          <t>bakivaxti.az; Globalinfo.az (16 Apr 2026)</t>
        </is>
      </c>
      <c r="Q12" s="79" t="inlineStr">
        <is>
          <t>bakivaxti.az</t>
        </is>
      </c>
      <c r="R12" s="77" t="inlineStr">
        <is>
          <t>Confirm developer and date.</t>
        </is>
      </c>
      <c r="S12" s="80" t="inlineStr">
        <is>
          <t>Not Started</t>
        </is>
      </c>
      <c r="T12" s="80" t="inlineStr"/>
      <c r="U12" s="80" t="inlineStr"/>
    </row>
    <row r="13">
      <c r="A13" s="77" t="n">
        <v>9</v>
      </c>
      <c r="B13" s="81" t="inlineStr">
        <is>
          <t>Add to pipeline</t>
        </is>
      </c>
      <c r="C13" s="77" t="inlineStr">
        <is>
          <t>JUNCTION, West Cairo</t>
        </is>
      </c>
      <c r="D13" s="77" t="inlineStr">
        <is>
          <t>Giza (West Cairo)</t>
        </is>
      </c>
      <c r="E13" s="77" t="inlineStr">
        <is>
          <t>Egypt</t>
        </is>
      </c>
      <c r="F13" s="77" t="inlineStr">
        <is>
          <t>Majid Al Futtaim</t>
        </is>
      </c>
      <c r="G13" s="77" t="inlineStr">
        <is>
          <t>Ground broken; EGP 500m enabling works</t>
        </is>
      </c>
      <c r="H13" s="77" t="inlineStr">
        <is>
          <t>—</t>
        </is>
      </c>
      <c r="I13" s="77" t="inlineStr">
        <is>
          <t>50+ outlets · EGP 20bn total investment</t>
        </is>
      </c>
      <c r="J13" s="77" t="inlineStr">
        <is>
          <t>Mixed-use business park beside Mall of Egypt (p113).</t>
        </is>
      </c>
      <c r="K13" s="77" t="inlineStr">
        <is>
          <t>Not listed.</t>
        </is>
      </c>
      <c r="L13" s="77" t="inlineStr">
        <is>
          <t>100–115</t>
        </is>
      </c>
      <c r="M13" s="77" t="inlineStr">
        <is>
          <t>2026-06-22</t>
        </is>
      </c>
      <c r="N13" s="77" t="inlineStr">
        <is>
          <t>2026-09-23</t>
        </is>
      </c>
      <c r="O13" s="77" t="n">
        <v>7</v>
      </c>
      <c r="P13" s="77" t="inlineStr">
        <is>
          <t>Majid Al Futtaim PR; MEED; Majid Al Futtaim (official); Majid Al Futtaim (official press release)</t>
        </is>
      </c>
      <c r="Q13" s="79" t="inlineStr">
        <is>
          <t>majidalfuttaim.com</t>
        </is>
      </c>
      <c r="R13" s="77" t="inlineStr">
        <is>
          <t>Ask MAF for the retail GLA.</t>
        </is>
      </c>
      <c r="S13" s="80" t="inlineStr">
        <is>
          <t>Not Started</t>
        </is>
      </c>
      <c r="T13" s="80" t="inlineStr"/>
      <c r="U13" s="80" t="inlineStr"/>
    </row>
    <row r="14">
      <c r="A14" s="77" t="n">
        <v>10</v>
      </c>
      <c r="B14" s="81" t="inlineStr">
        <is>
          <t>Add to pipeline</t>
        </is>
      </c>
      <c r="C14" s="77" t="inlineStr">
        <is>
          <t>Montania Gate</t>
        </is>
      </c>
      <c r="D14" s="77" t="inlineStr">
        <is>
          <t>Sheikh Zayed City (West Cairo)</t>
        </is>
      </c>
      <c r="E14" s="77" t="inlineStr">
        <is>
          <t>Egypt</t>
        </is>
      </c>
      <c r="F14" s="77" t="inlineStr">
        <is>
          <t>Everestview Development</t>
        </is>
      </c>
      <c r="G14" s="77" t="inlineStr">
        <is>
          <t>Launched 30 Aug 2026</t>
        </is>
      </c>
      <c r="H14" s="77" t="inlineStr">
        <is>
          <t>—</t>
        </is>
      </c>
      <c r="I14" s="77" t="inlineStr">
        <is>
          <t>60,000 sqm mixed-use incl. an 8,000 sqm mall</t>
        </is>
      </c>
      <c r="J14" s="77" t="inlineStr">
        <is>
          <t>Mixed-use scheme next to Emaar's Cairo Gate (Daily News Egypt, 30 Aug 2026).</t>
        </is>
      </c>
      <c r="K14" s="77" t="inlineStr">
        <is>
          <t>Not listed.</t>
        </is>
      </c>
      <c r="L14" s="77" t="inlineStr">
        <is>
          <t>100–115</t>
        </is>
      </c>
      <c r="M14" s="77" t="inlineStr">
        <is>
          <t>2026-08-31</t>
        </is>
      </c>
      <c r="N14" s="77" t="inlineStr">
        <is>
          <t>2026-08-31</t>
        </is>
      </c>
      <c r="O14" s="77" t="n">
        <v>1</v>
      </c>
      <c r="P14" s="77" t="inlineStr">
        <is>
          <t>Daily News Egypt (30 Aug 2026), via the intel skip log</t>
        </is>
      </c>
      <c r="Q14" s="77" t="inlineStr"/>
      <c r="R14" s="77" t="inlineStr">
        <is>
          <t>Watch the mall component's leasing.</t>
        </is>
      </c>
      <c r="S14" s="80" t="inlineStr">
        <is>
          <t>Not Started</t>
        </is>
      </c>
      <c r="T14" s="80" t="inlineStr"/>
      <c r="U14" s="80" t="inlineStr"/>
    </row>
    <row r="15">
      <c r="A15" s="77" t="n">
        <v>11</v>
      </c>
      <c r="B15" s="81" t="inlineStr">
        <is>
          <t>Add to pipeline</t>
        </is>
      </c>
      <c r="C15" s="77" t="inlineStr">
        <is>
          <t>The Way Mall &amp; POINT HUB Mall</t>
        </is>
      </c>
      <c r="D15" s="77" t="inlineStr">
        <is>
          <t>Badr City &amp; El Shorouk</t>
        </is>
      </c>
      <c r="E15" s="77" t="inlineStr">
        <is>
          <t>Egypt</t>
        </is>
      </c>
      <c r="F15" s="77" t="inlineStr">
        <is>
          <t>TIG Developments</t>
        </is>
      </c>
      <c r="G15" s="77" t="inlineStr">
        <is>
          <t>Announced</t>
        </is>
      </c>
      <c r="H15" s="77" t="inlineStr">
        <is>
          <t>—</t>
        </is>
      </c>
      <c r="I15" s="77" t="inlineStr">
        <is>
          <t>EGP 1.5bn+ investment</t>
        </is>
      </c>
      <c r="J15" s="77" t="inlineStr">
        <is>
          <t>Two community malls east of Cairo.</t>
        </is>
      </c>
      <c r="K15" s="77" t="inlineStr">
        <is>
          <t>Not listed.</t>
        </is>
      </c>
      <c r="L15" s="77" t="inlineStr">
        <is>
          <t>100–115</t>
        </is>
      </c>
      <c r="M15" s="77" t="inlineStr">
        <is>
          <t>2026-08-03</t>
        </is>
      </c>
      <c r="N15" s="77" t="inlineStr">
        <is>
          <t>2026-08-27</t>
        </is>
      </c>
      <c r="O15" s="77" t="n">
        <v>2</v>
      </c>
      <c r="P15" s="77" t="inlineStr">
        <is>
          <t>EgyGateNews; MECSR intel skip log</t>
        </is>
      </c>
      <c r="Q15" s="79" t="inlineStr">
        <is>
          <t>egygatenews.com</t>
        </is>
      </c>
      <c r="R15" s="77" t="inlineStr">
        <is>
          <t>Confirm sizes and dates.</t>
        </is>
      </c>
      <c r="S15" s="80" t="inlineStr">
        <is>
          <t>Not Started</t>
        </is>
      </c>
      <c r="T15" s="80" t="inlineStr"/>
      <c r="U15" s="80" t="inlineStr"/>
    </row>
    <row r="16">
      <c r="A16" s="77" t="n">
        <v>12</v>
      </c>
      <c r="B16" s="81" t="inlineStr">
        <is>
          <t>Add to pipeline</t>
        </is>
      </c>
      <c r="C16" s="77" t="inlineStr">
        <is>
          <t>Tria Mall, Jordan Gate 'Sixth Towers'</t>
        </is>
      </c>
      <c r="D16" s="77" t="inlineStr">
        <is>
          <t>Amman</t>
        </is>
      </c>
      <c r="E16" s="77" t="inlineStr">
        <is>
          <t>Jordan</t>
        </is>
      </c>
      <c r="F16" s="77" t="inlineStr">
        <is>
          <t>Jordan Gate Company</t>
        </is>
      </c>
      <c r="G16" s="77" t="inlineStr">
        <is>
          <t>Under construction</t>
        </is>
      </c>
      <c r="H16" s="77" t="inlineStr">
        <is>
          <t>2026 handover</t>
        </is>
      </c>
      <c r="I16" s="77" t="inlineStr">
        <is>
          <t>—</t>
        </is>
      </c>
      <c r="J16" s="77" t="inlineStr">
        <is>
          <t>Retail podium of the Jordan Gate towers; Phase One residential sales reached 100%.</t>
        </is>
      </c>
      <c r="K16" s="77" t="inlineStr">
        <is>
          <t>Not listed.</t>
        </is>
      </c>
      <c r="L16" s="77" t="inlineStr">
        <is>
          <t>138–142</t>
        </is>
      </c>
      <c r="M16" s="77" t="inlineStr">
        <is>
          <t>2026-09-03</t>
        </is>
      </c>
      <c r="N16" s="77" t="inlineStr">
        <is>
          <t>2026-09-03</t>
        </is>
      </c>
      <c r="O16" s="77" t="n">
        <v>1</v>
      </c>
      <c r="P16" s="77" t="inlineStr">
        <is>
          <t>Jordan Gate Company (developer official site); Jordan Gate Company</t>
        </is>
      </c>
      <c r="Q16" s="79" t="inlineStr">
        <is>
          <t>jordangate.jo</t>
        </is>
      </c>
      <c r="R16" s="77" t="inlineStr">
        <is>
          <t>Confirm handover date and GLA.</t>
        </is>
      </c>
      <c r="S16" s="80" t="inlineStr">
        <is>
          <t>Not Started</t>
        </is>
      </c>
      <c r="T16" s="80" t="inlineStr"/>
      <c r="U16" s="80" t="inlineStr"/>
    </row>
    <row r="17">
      <c r="A17" s="77" t="n">
        <v>13</v>
      </c>
      <c r="B17" s="81" t="inlineStr">
        <is>
          <t>Add to pipeline</t>
        </is>
      </c>
      <c r="C17" s="77" t="inlineStr">
        <is>
          <t>MEGA Garden, Astana</t>
        </is>
      </c>
      <c r="D17" s="77" t="inlineStr">
        <is>
          <t>Astana</t>
        </is>
      </c>
      <c r="E17" s="77" t="inlineStr">
        <is>
          <t>Kazakhstan</t>
        </is>
      </c>
      <c r="F17" s="77" t="inlineStr">
        <is>
          <t>MEGA Center Management</t>
        </is>
      </c>
      <c r="G17" s="77" t="inlineStr">
        <is>
          <t>Announced Mar 2026</t>
        </is>
      </c>
      <c r="H17" s="77" t="inlineStr">
        <is>
          <t>Dec 2027</t>
        </is>
      </c>
      <c r="I17" s="77" t="inlineStr">
        <is>
          <t>130,000 sqm · ~10,000 sqm indoor tropical garden · 100bn tenge</t>
        </is>
      </c>
      <c r="J17" s="77" t="inlineStr">
        <is>
          <t>Central Asia's first large-scale indoor tropical-garden mall.</t>
        </is>
      </c>
      <c r="K17" s="77" t="inlineStr">
        <is>
          <t>Not listed. MEGA Park and MEGA Alma-Ata (p144) are Almaty centres.</t>
        </is>
      </c>
      <c r="L17" s="77" t="inlineStr">
        <is>
          <t>143–148</t>
        </is>
      </c>
      <c r="M17" s="77" t="inlineStr">
        <is>
          <t>2026-09-03</t>
        </is>
      </c>
      <c r="N17" s="77" t="inlineStr">
        <is>
          <t>2026-09-03</t>
        </is>
      </c>
      <c r="O17" s="77" t="n">
        <v>1</v>
      </c>
      <c r="P17" s="77" t="inlineStr">
        <is>
          <t>Forbes Kazakhstan; Newtimes.kz (18 Mar 2026)</t>
        </is>
      </c>
      <c r="Q17" s="79" t="inlineStr">
        <is>
          <t>forbes.kz</t>
        </is>
      </c>
      <c r="R17" s="77" t="inlineStr">
        <is>
          <t>Track construction.</t>
        </is>
      </c>
      <c r="S17" s="80" t="inlineStr">
        <is>
          <t>Not Started</t>
        </is>
      </c>
      <c r="T17" s="80" t="inlineStr"/>
      <c r="U17" s="80" t="inlineStr"/>
    </row>
    <row r="18">
      <c r="A18" s="77" t="n">
        <v>14</v>
      </c>
      <c r="B18" s="81" t="inlineStr">
        <is>
          <t>Add to pipeline</t>
        </is>
      </c>
      <c r="C18" s="77" t="inlineStr">
        <is>
          <t>Morocco Mall Marrakech</t>
        </is>
      </c>
      <c r="D18" s="77" t="inlineStr">
        <is>
          <t>Marrakech</t>
        </is>
      </c>
      <c r="E18" s="77" t="inlineStr">
        <is>
          <t>Morocco</t>
        </is>
      </c>
      <c r="F18" s="77" t="inlineStr">
        <is>
          <t>Aksal Group</t>
        </is>
      </c>
      <c r="G18" s="77" t="inlineStr">
        <is>
          <t>Built; opening postponed</t>
        </is>
      </c>
      <c r="H18" s="77" t="inlineStr">
        <is>
          <t>Spring 2027 (was summer 2026)</t>
        </is>
      </c>
      <c r="I18" s="77" t="inlineStr">
        <is>
          <t>130,000+ sqm · MAD 1bn+</t>
        </is>
      </c>
      <c r="J18" s="77" t="inlineStr">
        <is>
          <t>Opening delayed to lift pre-leasing while consumer spending is weaker.</t>
        </is>
      </c>
      <c r="K18" s="77" t="inlineStr">
        <is>
          <t>Not listed. Morocco Mall (p175) is the Casablanca centre.</t>
        </is>
      </c>
      <c r="L18" s="77" t="inlineStr">
        <is>
          <t>174–178</t>
        </is>
      </c>
      <c r="M18" s="77" t="inlineStr">
        <is>
          <t>2026-07-06</t>
        </is>
      </c>
      <c r="N18" s="77" t="inlineStr">
        <is>
          <t>2026-09-07</t>
        </is>
      </c>
      <c r="O18" s="77" t="n">
        <v>5</v>
      </c>
      <c r="P18" s="77" t="inlineStr">
        <is>
          <t>Hudson Holdings; Challenge.ma (Rachid Boutaleb); Challenge.ma; MECSR intel skip log</t>
        </is>
      </c>
      <c r="Q18" s="79" t="inlineStr">
        <is>
          <t>challenge.ma</t>
        </is>
      </c>
      <c r="R18" s="77" t="inlineStr">
        <is>
          <t>Add as pipeline with the spring 2027 date.</t>
        </is>
      </c>
      <c r="S18" s="80" t="inlineStr">
        <is>
          <t>Not Started</t>
        </is>
      </c>
      <c r="T18" s="80" t="inlineStr"/>
      <c r="U18" s="80" t="inlineStr"/>
    </row>
    <row r="19">
      <c r="A19" s="77" t="n">
        <v>15</v>
      </c>
      <c r="B19" s="81" t="inlineStr">
        <is>
          <t>Add to pipeline</t>
        </is>
      </c>
      <c r="C19" s="77" t="inlineStr">
        <is>
          <t>Orca Deco Mall, Maitama</t>
        </is>
      </c>
      <c r="D19" s="77" t="inlineStr">
        <is>
          <t>Abuja</t>
        </is>
      </c>
      <c r="E19" s="77" t="inlineStr">
        <is>
          <t>Nigeria</t>
        </is>
      </c>
      <c r="F19" s="77" t="inlineStr">
        <is>
          <t>Orca Deco (developer of the 50,000 sqm Eko Atlantic mall, Lagos)</t>
        </is>
      </c>
      <c r="G19" s="77" t="inlineStr">
        <is>
          <t>Planned</t>
        </is>
      </c>
      <c r="H19" s="77" t="inlineStr">
        <is>
          <t>Q2 2027</t>
        </is>
      </c>
      <c r="I19" s="77" t="inlineStr">
        <is>
          <t>43,000 sqm</t>
        </is>
      </c>
      <c r="J19" s="77" t="inlineStr">
        <is>
          <t>The developer's second mall.</t>
        </is>
      </c>
      <c r="K19" s="77" t="inlineStr">
        <is>
          <t>Not listed.</t>
        </is>
      </c>
      <c r="L19" s="77" t="inlineStr">
        <is>
          <t>179–183</t>
        </is>
      </c>
      <c r="M19" s="77" t="inlineStr">
        <is>
          <t>2026-08-27</t>
        </is>
      </c>
      <c r="N19" s="77" t="inlineStr">
        <is>
          <t>2026-09-03</t>
        </is>
      </c>
      <c r="O19" s="77" t="n">
        <v>4</v>
      </c>
      <c r="P19" s="77" t="inlineStr">
        <is>
          <t>BusinessDay NG; MECSR intel skip log</t>
        </is>
      </c>
      <c r="Q19" s="79" t="inlineStr">
        <is>
          <t>businessday.ng</t>
        </is>
      </c>
      <c r="R19" s="77" t="inlineStr">
        <is>
          <t>Watch for a construction start.</t>
        </is>
      </c>
      <c r="S19" s="80" t="inlineStr">
        <is>
          <t>Not Started</t>
        </is>
      </c>
      <c r="T19" s="80" t="inlineStr"/>
      <c r="U19" s="80" t="inlineStr"/>
    </row>
    <row r="20">
      <c r="A20" s="77" t="n">
        <v>16</v>
      </c>
      <c r="B20" s="81" t="inlineStr">
        <is>
          <t>Add to pipeline</t>
        </is>
      </c>
      <c r="C20" s="77" t="inlineStr">
        <is>
          <t>Al Khobar Downtown Mall</t>
        </is>
      </c>
      <c r="D20" s="77" t="inlineStr">
        <is>
          <t>Al Khobar</t>
        </is>
      </c>
      <c r="E20" s="77" t="inlineStr">
        <is>
          <t>Saudi Arabia</t>
        </is>
      </c>
      <c r="F20" s="77" t="inlineStr">
        <is>
          <t>Cenomi Centers with Saudi Downtown Co. (PIF)</t>
        </is>
      </c>
      <c r="G20" s="77" t="inlineStr">
        <is>
          <t>Design-build contract awarded (Lynx Contracting, SAR 1.33bn, 36 months)</t>
        </is>
      </c>
      <c r="H20" s="77" t="inlineStr">
        <is>
          <t>~2029</t>
        </is>
      </c>
      <c r="I20" s="77" t="inlineStr">
        <is>
          <t>—</t>
        </is>
      </c>
      <c r="J20" s="77" t="inlineStr">
        <is>
          <t>Replaces the cancelled Jawharat Al Khobar scheme, whose land lease ended on 8 Jan 2026. One of the two Cenomi flagships expected to lift its GLA by more than 50% by 2029.</t>
        </is>
      </c>
      <c r="K20" s="77" t="inlineStr">
        <is>
          <t>Not listed.</t>
        </is>
      </c>
      <c r="L20" s="77" t="inlineStr">
        <is>
          <t>206–237</t>
        </is>
      </c>
      <c r="M20" s="77" t="inlineStr">
        <is>
          <t>2026-07-03</t>
        </is>
      </c>
      <c r="N20" s="77" t="inlineStr">
        <is>
          <t>2026-08-21</t>
        </is>
      </c>
      <c r="O20" s="77" t="n">
        <v>3</v>
      </c>
      <c r="P20" s="77" t="inlineStr">
        <is>
          <t>AGBI; Argaam; Sahm Capital; Saudi Exchange (Tadawul)</t>
        </is>
      </c>
      <c r="Q20" s="79" t="inlineStr">
        <is>
          <t>agbi.com</t>
        </is>
      </c>
      <c r="R20" s="77" t="inlineStr">
        <is>
          <t>Add as pipeline with the 2029 horizon.</t>
        </is>
      </c>
      <c r="S20" s="80" t="inlineStr">
        <is>
          <t>Not Started</t>
        </is>
      </c>
      <c r="T20" s="80" t="inlineStr"/>
      <c r="U20" s="80" t="inlineStr"/>
    </row>
    <row r="21">
      <c r="A21" s="77" t="n">
        <v>17</v>
      </c>
      <c r="B21" s="81" t="inlineStr">
        <is>
          <t>Add to pipeline</t>
        </is>
      </c>
      <c r="C21" s="77" t="inlineStr">
        <is>
          <t>Al Othaim Park, Dammam</t>
        </is>
      </c>
      <c r="D21" s="77" t="inlineStr">
        <is>
          <t>Dammam</t>
        </is>
      </c>
      <c r="E21" s="77" t="inlineStr">
        <is>
          <t>Saudi Arabia</t>
        </is>
      </c>
      <c r="F21" s="77" t="inlineStr">
        <is>
          <t>Al Othaim Investment (Diamond sponsor)</t>
        </is>
      </c>
      <c r="G21" s="77" t="inlineStr">
        <is>
          <t>Under construction — 64% complete</t>
        </is>
      </c>
      <c r="H21" s="77" t="inlineStr">
        <is>
          <t>2027</t>
        </is>
      </c>
      <c r="I21" s="77" t="inlineStr">
        <is>
          <t>SAR 2.34bn</t>
        </is>
      </c>
      <c r="J21" s="77" t="inlineStr">
        <is>
          <t>Destination project passed 64% physical completion in Jul–Aug 2026.</t>
        </is>
      </c>
      <c r="K21" s="77" t="inlineStr">
        <is>
          <t>Not listed. Distinct from Al Othaim Mall – Dammam (p210, trading) and Al Othaim Park in Hail.</t>
        </is>
      </c>
      <c r="L21" s="77" t="inlineStr">
        <is>
          <t>206–237</t>
        </is>
      </c>
      <c r="M21" s="77" t="inlineStr">
        <is>
          <t>2026-07-29</t>
        </is>
      </c>
      <c r="N21" s="77" t="inlineStr">
        <is>
          <t>2026-09-03</t>
        </is>
      </c>
      <c r="O21" s="77" t="n">
        <v>6</v>
      </c>
      <c r="P21" s="77" t="inlineStr">
        <is>
          <t>Maaal; Sahm Capital; MECSR intel skip log</t>
        </is>
      </c>
      <c r="Q21" s="79" t="inlineStr">
        <is>
          <t>maaal.com</t>
        </is>
      </c>
      <c r="R21" s="77" t="inlineStr">
        <is>
          <t>Ask Al Othaim for GLA and a listing — they are a Diamond sponsor.</t>
        </is>
      </c>
      <c r="S21" s="80" t="inlineStr">
        <is>
          <t>Not Started</t>
        </is>
      </c>
      <c r="T21" s="80" t="inlineStr"/>
      <c r="U21" s="80" t="inlineStr"/>
    </row>
    <row r="22">
      <c r="A22" s="77" t="n">
        <v>18</v>
      </c>
      <c r="B22" s="81" t="inlineStr">
        <is>
          <t>Add to pipeline</t>
        </is>
      </c>
      <c r="C22" s="77" t="inlineStr">
        <is>
          <t>Barakah Mall, Makkah</t>
        </is>
      </c>
      <c r="D22" s="77" t="inlineStr">
        <is>
          <t>Makkah</t>
        </is>
      </c>
      <c r="E22" s="77" t="inlineStr">
        <is>
          <t>Saudi Arabia</t>
        </is>
      </c>
      <c r="F22" s="77" t="inlineStr">
        <is>
          <t>Cenomi Centers</t>
        </is>
      </c>
      <c r="G22" s="77" t="inlineStr">
        <is>
          <t>Pipeline — one of Cenomi's three lifestyle centres</t>
        </is>
      </c>
      <c r="H22" s="77" t="inlineStr">
        <is>
          <t>By 2029 (a Feb 2024 article said 2026)</t>
        </is>
      </c>
      <c r="I22" s="77" t="inlineStr">
        <is>
          <t>80,000 sqm GLA</t>
        </is>
      </c>
      <c r="J22" s="77" t="inlineStr">
        <is>
          <t>Near Masjid Al Haram. Listed by Cenomi in Aug 2026 with U Walk Qassim and Murcia Mall.</t>
        </is>
      </c>
      <c r="K22" s="77" t="inlineStr">
        <is>
          <t>Not listed.</t>
        </is>
      </c>
      <c r="L22" s="77" t="inlineStr">
        <is>
          <t>206–237</t>
        </is>
      </c>
      <c r="M22" s="77" t="inlineStr">
        <is>
          <t>2026-06-16</t>
        </is>
      </c>
      <c r="N22" s="77" t="inlineStr">
        <is>
          <t>2026-08-07</t>
        </is>
      </c>
      <c r="O22" s="77" t="n">
        <v>2</v>
      </c>
      <c r="P22" s="77" t="inlineStr">
        <is>
          <t>Zawya / Cenomi; AGBI; Saudi Exchange filing; Argaam</t>
        </is>
      </c>
      <c r="Q22" s="79" t="inlineStr">
        <is>
          <t>zawya.com</t>
        </is>
      </c>
      <c r="R22" s="77" t="inlineStr">
        <is>
          <t>The opening year conflicts between sources — confirm with Cenomi.</t>
        </is>
      </c>
      <c r="S22" s="80" t="inlineStr">
        <is>
          <t>Not Started</t>
        </is>
      </c>
      <c r="T22" s="80" t="inlineStr"/>
      <c r="U22" s="80" t="inlineStr"/>
    </row>
    <row r="23">
      <c r="A23" s="77" t="n">
        <v>19</v>
      </c>
      <c r="B23" s="81" t="inlineStr">
        <is>
          <t>Add to pipeline</t>
        </is>
      </c>
      <c r="C23" s="77" t="inlineStr">
        <is>
          <t>U Walk Qassim and Murcia Mall</t>
        </is>
      </c>
      <c r="D23" s="77" t="inlineStr">
        <is>
          <t>Qassim / not stated</t>
        </is>
      </c>
      <c r="E23" s="77" t="inlineStr">
        <is>
          <t>Saudi Arabia</t>
        </is>
      </c>
      <c r="F23" s="77" t="inlineStr">
        <is>
          <t>Cenomi Centers</t>
        </is>
      </c>
      <c r="G23" s="77" t="inlineStr">
        <is>
          <t>Pipeline</t>
        </is>
      </c>
      <c r="H23" s="77" t="inlineStr">
        <is>
          <t>By 2029</t>
        </is>
      </c>
      <c r="I23" s="77" t="inlineStr">
        <is>
          <t>—</t>
        </is>
      </c>
      <c r="J23" s="77" t="inlineStr">
        <is>
          <t>The other two lifestyle centres in Cenomi's five-project pipeline (AGBI, 6 Aug 2026).</t>
        </is>
      </c>
      <c r="K23" s="77" t="inlineStr">
        <is>
          <t>Neither is listed (U Walk Riyadh and U Walk Jeddah are, pp 211–212).</t>
        </is>
      </c>
      <c r="L23" s="77" t="inlineStr">
        <is>
          <t>206–237</t>
        </is>
      </c>
      <c r="M23" s="77" t="inlineStr">
        <is>
          <t>2026-08-07</t>
        </is>
      </c>
      <c r="N23" s="77" t="inlineStr">
        <is>
          <t>2026-08-07</t>
        </is>
      </c>
      <c r="O23" s="77" t="n">
        <v>1</v>
      </c>
      <c r="P23" s="77" t="inlineStr">
        <is>
          <t>AGBI; Saudi Exchange filing; Argaam</t>
        </is>
      </c>
      <c r="Q23" s="79" t="inlineStr">
        <is>
          <t>agbi.com</t>
        </is>
      </c>
      <c r="R23" s="77" t="inlineStr">
        <is>
          <t>Ask Cenomi for location, GLA and dates.</t>
        </is>
      </c>
      <c r="S23" s="80" t="inlineStr">
        <is>
          <t>Not Started</t>
        </is>
      </c>
      <c r="T23" s="80" t="inlineStr"/>
      <c r="U23" s="80" t="inlineStr"/>
    </row>
    <row r="24">
      <c r="A24" s="77" t="n">
        <v>20</v>
      </c>
      <c r="B24" s="81" t="inlineStr">
        <is>
          <t>Add to pipeline</t>
        </is>
      </c>
      <c r="C24" s="77" t="inlineStr">
        <is>
          <t>Kumburgaz Outlet</t>
        </is>
      </c>
      <c r="D24" s="77" t="inlineStr">
        <is>
          <t>Istanbul (Büyükçekmece)</t>
        </is>
      </c>
      <c r="E24" s="77" t="inlineStr">
        <is>
          <t>Türkiye</t>
        </is>
      </c>
      <c r="F24" s="77" t="inlineStr">
        <is>
          <t>Not named</t>
        </is>
      </c>
      <c r="G24" s="77" t="inlineStr">
        <is>
          <t>Slated for 2026</t>
        </is>
      </c>
      <c r="H24" s="77" t="inlineStr">
        <is>
          <t>2026</t>
        </is>
      </c>
      <c r="I24" s="77" t="inlineStr">
        <is>
          <t>30,000 sqm</t>
        </is>
      </c>
      <c r="J24" s="77" t="inlineStr">
        <is>
          <t>Istanbul has 93 operating AVMs and 22 shopping-centre investments under way.</t>
        </is>
      </c>
      <c r="K24" s="77" t="inlineStr">
        <is>
          <t>Not listed.</t>
        </is>
      </c>
      <c r="L24" s="77" t="inlineStr">
        <is>
          <t>245–260</t>
        </is>
      </c>
      <c r="M24" s="77" t="inlineStr">
        <is>
          <t>2026-09-02</t>
        </is>
      </c>
      <c r="N24" s="77" t="inlineStr">
        <is>
          <t>2026-09-03</t>
        </is>
      </c>
      <c r="O24" s="77" t="n">
        <v>2</v>
      </c>
      <c r="P24" s="77" t="inlineStr">
        <is>
          <t>Emlakkulisi.com; MECSR intel skip log</t>
        </is>
      </c>
      <c r="Q24" s="79" t="inlineStr">
        <is>
          <t>emlakkulisi.com</t>
        </is>
      </c>
      <c r="R24" s="77" t="inlineStr">
        <is>
          <t>Confirm developer and date.</t>
        </is>
      </c>
      <c r="S24" s="80" t="inlineStr">
        <is>
          <t>Not Started</t>
        </is>
      </c>
      <c r="T24" s="80" t="inlineStr"/>
      <c r="U24" s="80" t="inlineStr"/>
    </row>
    <row r="25">
      <c r="A25" s="77" t="n">
        <v>21</v>
      </c>
      <c r="B25" s="81" t="inlineStr">
        <is>
          <t>Add to pipeline</t>
        </is>
      </c>
      <c r="C25" s="77" t="inlineStr">
        <is>
          <t>Le Meryeme Mall (Liwan)</t>
        </is>
      </c>
      <c r="D25" s="77" t="inlineStr">
        <is>
          <t>Dubai</t>
        </is>
      </c>
      <c r="E25" s="77" t="inlineStr">
        <is>
          <t>UAE</t>
        </is>
      </c>
      <c r="F25" s="77" t="inlineStr">
        <is>
          <t>KeyMavens Group</t>
        </is>
      </c>
      <c r="G25" s="77" t="inlineStr">
        <is>
          <t>Under construction</t>
        </is>
      </c>
      <c r="H25" s="77" t="inlineStr">
        <is>
          <t>H2 2026</t>
        </is>
      </c>
      <c r="I25" s="77" t="inlineStr">
        <is>
          <t>—</t>
        </is>
      </c>
      <c r="J25" s="77" t="inlineStr">
        <is>
          <t>Spanish-inspired luxury mall, one of seven UAE malls Gulf News lists for 2026.</t>
        </is>
      </c>
      <c r="K25" s="77" t="inlineStr">
        <is>
          <t>Not listed (the Liwan entries in the book are in Bahrain, Kuwait, Oman and KSA).</t>
        </is>
      </c>
      <c r="L25" s="77" t="inlineStr">
        <is>
          <t>261–295</t>
        </is>
      </c>
      <c r="M25" s="77" t="inlineStr">
        <is>
          <t>2026-06-16</t>
        </is>
      </c>
      <c r="N25" s="77" t="inlineStr">
        <is>
          <t>2026-09-22</t>
        </is>
      </c>
      <c r="O25" s="77" t="n">
        <v>6</v>
      </c>
      <c r="P25" s="77" t="inlineStr">
        <is>
          <t>Gulf News; Zawya (Shamal Holding release); Time Out Dubai; Gulf News / KeyMavens</t>
        </is>
      </c>
      <c r="Q25" s="79" t="inlineStr">
        <is>
          <t>gulfnews.com</t>
        </is>
      </c>
      <c r="R25" s="77" t="inlineStr">
        <is>
          <t>Confirm GLA and opening date with KeyMavens.</t>
        </is>
      </c>
      <c r="S25" s="80" t="inlineStr">
        <is>
          <t>Not Started</t>
        </is>
      </c>
      <c r="T25" s="80" t="inlineStr"/>
      <c r="U25" s="80" t="inlineStr"/>
    </row>
    <row r="26">
      <c r="A26" s="77" t="n">
        <v>22</v>
      </c>
      <c r="B26" s="81" t="inlineStr">
        <is>
          <t>Add to pipeline</t>
        </is>
      </c>
      <c r="C26" s="77" t="inlineStr">
        <is>
          <t>South Bay Mall</t>
        </is>
      </c>
      <c r="D26" s="77" t="inlineStr">
        <is>
          <t>Dubai South (Residential District)</t>
        </is>
      </c>
      <c r="E26" s="77" t="inlineStr">
        <is>
          <t>UAE</t>
        </is>
      </c>
      <c r="F26" s="77" t="inlineStr">
        <is>
          <t>Not named</t>
        </is>
      </c>
      <c r="G26" s="77" t="inlineStr">
        <is>
          <t>Under construction</t>
        </is>
      </c>
      <c r="H26" s="77" t="inlineStr">
        <is>
          <t>2026</t>
        </is>
      </c>
      <c r="I26" s="77" t="inlineStr">
        <is>
          <t>~200,000 sq ft · 60 outlets</t>
        </is>
      </c>
      <c r="J26" s="77" t="inlineStr">
        <is>
          <t>Retail and dining hub for the South Bay community.</t>
        </is>
      </c>
      <c r="K26" s="77" t="inlineStr">
        <is>
          <t>Not listed.</t>
        </is>
      </c>
      <c r="L26" s="77" t="inlineStr">
        <is>
          <t>261–295</t>
        </is>
      </c>
      <c r="M26" s="77" t="inlineStr">
        <is>
          <t>2026-06-16</t>
        </is>
      </c>
      <c r="N26" s="77" t="inlineStr">
        <is>
          <t>2026-09-22</t>
        </is>
      </c>
      <c r="O26" s="77" t="n">
        <v>4</v>
      </c>
      <c r="P26" s="77" t="inlineStr">
        <is>
          <t>Gulf News; Dubai Chronicle; MECSR intel skip log</t>
        </is>
      </c>
      <c r="Q26" s="79" t="inlineStr">
        <is>
          <t>gulfnews.com</t>
        </is>
      </c>
      <c r="R26" s="77" t="inlineStr">
        <is>
          <t>Confirm developer and opening date.</t>
        </is>
      </c>
      <c r="S26" s="80" t="inlineStr">
        <is>
          <t>Not Started</t>
        </is>
      </c>
      <c r="T26" s="80" t="inlineStr"/>
      <c r="U26" s="80" t="inlineStr"/>
    </row>
    <row r="27">
      <c r="A27" s="77" t="n">
        <v>23</v>
      </c>
      <c r="B27" s="81" t="inlineStr">
        <is>
          <t>Add to pipeline</t>
        </is>
      </c>
      <c r="C27" s="77" t="inlineStr">
        <is>
          <t>The Villa Mall</t>
        </is>
      </c>
      <c r="D27" s="77" t="inlineStr">
        <is>
          <t>Dubai</t>
        </is>
      </c>
      <c r="E27" s="77" t="inlineStr">
        <is>
          <t>UAE</t>
        </is>
      </c>
      <c r="F27" s="77" t="inlineStr">
        <is>
          <t>KeyMavens Group</t>
        </is>
      </c>
      <c r="G27" s="77" t="inlineStr">
        <is>
          <t>Under construction</t>
        </is>
      </c>
      <c r="H27" s="77" t="inlineStr">
        <is>
          <t>H2 2026</t>
        </is>
      </c>
      <c r="I27" s="77" t="inlineStr">
        <is>
          <t>—</t>
        </is>
      </c>
      <c r="J27" s="77" t="inlineStr">
        <is>
          <t>The developer's second Spanish-inspired scheme.</t>
        </is>
      </c>
      <c r="K27" s="77" t="inlineStr">
        <is>
          <t>Not listed.</t>
        </is>
      </c>
      <c r="L27" s="77" t="inlineStr">
        <is>
          <t>261–295</t>
        </is>
      </c>
      <c r="M27" s="77" t="inlineStr">
        <is>
          <t>2026-08-03</t>
        </is>
      </c>
      <c r="N27" s="77" t="inlineStr">
        <is>
          <t>2026-08-03</t>
        </is>
      </c>
      <c r="O27" s="77" t="n">
        <v>1</v>
      </c>
      <c r="P27" s="77" t="inlineStr">
        <is>
          <t>Gulf News / KeyMavens; Gulf News; KeyMavens Group</t>
        </is>
      </c>
      <c r="Q27" s="79" t="inlineStr">
        <is>
          <t>blog.wego.com</t>
        </is>
      </c>
      <c r="R27" s="77" t="inlineStr">
        <is>
          <t>Confirm with KeyMavens.</t>
        </is>
      </c>
      <c r="S27" s="80" t="inlineStr">
        <is>
          <t>Not Started</t>
        </is>
      </c>
      <c r="T27" s="80" t="inlineStr"/>
      <c r="U27" s="80" t="inlineStr"/>
    </row>
    <row r="28">
      <c r="A28" s="77" t="n">
        <v>24</v>
      </c>
      <c r="B28" s="81" t="inlineStr">
        <is>
          <t>Add to pipeline</t>
        </is>
      </c>
      <c r="C28" s="77" t="inlineStr">
        <is>
          <t>The Yard, Palm Jebel Ali</t>
        </is>
      </c>
      <c r="D28" s="77" t="inlineStr">
        <is>
          <t>Dubai</t>
        </is>
      </c>
      <c r="E28" s="77" t="inlineStr">
        <is>
          <t>UAE</t>
        </is>
      </c>
      <c r="F28" s="77" t="inlineStr">
        <is>
          <t>Dubai Retail (Dubai Holding Asset Management)</t>
        </is>
      </c>
      <c r="G28" s="77" t="inlineStr">
        <is>
          <t>Announced 10 Sep 2026</t>
        </is>
      </c>
      <c r="H28" s="77" t="inlineStr">
        <is>
          <t>2027</t>
        </is>
      </c>
      <c r="I28" s="77" t="inlineStr">
        <is>
          <t>26 concepts</t>
        </is>
      </c>
      <c r="J28" s="77" t="inlineStr">
        <is>
          <t>Palm Jebel Ali's first retail and lifestyle destination; Waitrose and American Hospital among the 26 concepts.</t>
        </is>
      </c>
      <c r="K28" s="77" t="inlineStr">
        <is>
          <t>Not listed.</t>
        </is>
      </c>
      <c r="L28" s="77" t="inlineStr">
        <is>
          <t>261–295</t>
        </is>
      </c>
      <c r="M28" s="77" t="inlineStr">
        <is>
          <t>2026-09-17</t>
        </is>
      </c>
      <c r="N28" s="77" t="inlineStr">
        <is>
          <t>2026-10-06</t>
        </is>
      </c>
      <c r="O28" s="77" t="n">
        <v>4</v>
      </c>
      <c r="P28" s="77" t="inlineStr">
        <is>
          <t>Gulf News; Arabian Business; MECSR intel skip log</t>
        </is>
      </c>
      <c r="Q28" s="79" t="inlineStr">
        <is>
          <t>gulfnews.com</t>
        </is>
      </c>
      <c r="R28" s="77" t="inlineStr">
        <is>
          <t>Track tenant roster and opening date.</t>
        </is>
      </c>
      <c r="S28" s="80" t="inlineStr">
        <is>
          <t>Not Started</t>
        </is>
      </c>
      <c r="T28" s="80" t="inlineStr"/>
      <c r="U28" s="80" t="inlineStr"/>
    </row>
    <row r="29">
      <c r="A29" s="77" t="n">
        <v>25</v>
      </c>
      <c r="B29" s="82" t="inlineStr">
        <is>
          <t>Check first</t>
        </is>
      </c>
      <c r="C29" s="77" t="inlineStr">
        <is>
          <t>Bloom Mall, Shorouk City</t>
        </is>
      </c>
      <c r="D29" s="77" t="inlineStr">
        <is>
          <t>El Shorouk</t>
        </is>
      </c>
      <c r="E29" s="77" t="inlineStr">
        <is>
          <t>Egypt</t>
        </is>
      </c>
      <c r="F29" s="77" t="inlineStr">
        <is>
          <t>Egyptian Developers</t>
        </is>
      </c>
      <c r="G29" s="77" t="inlineStr">
        <is>
          <t>Construction 100% complete, per the developer (18 Aug 2026)</t>
        </is>
      </c>
      <c r="H29" s="77" t="inlineStr">
        <is>
          <t>2026</t>
        </is>
      </c>
      <c r="I29" s="77" t="inlineStr">
        <is>
          <t>—</t>
        </is>
      </c>
      <c r="J29" s="77" t="inlineStr">
        <is>
          <t>Carried only on developer PR re-post sites; the intel team has held it off the reports since August.</t>
        </is>
      </c>
      <c r="K29" s="77" t="inlineStr">
        <is>
          <t>Not listed.</t>
        </is>
      </c>
      <c r="L29" s="77" t="inlineStr">
        <is>
          <t>100–115</t>
        </is>
      </c>
      <c r="M29" s="77" t="inlineStr">
        <is>
          <t>2026-08-27</t>
        </is>
      </c>
      <c r="N29" s="77" t="inlineStr">
        <is>
          <t>2026-10-06</t>
        </is>
      </c>
      <c r="O29" s="77" t="n">
        <v>9</v>
      </c>
      <c r="P29" s="77" t="inlineStr">
        <is>
          <t>Developer PR (egygatenews.com), via the intel skip log</t>
        </is>
      </c>
      <c r="Q29" s="77" t="inlineStr"/>
      <c r="R29" s="77" t="inlineStr">
        <is>
          <t>Wait for an established outlet before adding.</t>
        </is>
      </c>
      <c r="S29" s="80" t="inlineStr">
        <is>
          <t>Not Started</t>
        </is>
      </c>
      <c r="T29" s="80" t="inlineStr"/>
      <c r="U29" s="80" t="inlineStr"/>
    </row>
    <row r="30">
      <c r="A30" s="77" t="n">
        <v>26</v>
      </c>
      <c r="B30" s="82" t="inlineStr">
        <is>
          <t>Check first</t>
        </is>
      </c>
      <c r="C30" s="77" t="inlineStr">
        <is>
          <t>First Plaza Mall, Hadayek October</t>
        </is>
      </c>
      <c r="D30" s="77" t="inlineStr">
        <is>
          <t>Giza (West Cairo)</t>
        </is>
      </c>
      <c r="E30" s="77" t="inlineStr">
        <is>
          <t>Egypt</t>
        </is>
      </c>
      <c r="F30" s="77" t="inlineStr">
        <is>
          <t>Al Emarat Development</t>
        </is>
      </c>
      <c r="G30" s="77" t="inlineStr">
        <is>
          <t>Developer's debut project (Feb 2026)</t>
        </is>
      </c>
      <c r="H30" s="77" t="inlineStr">
        <is>
          <t>—</t>
        </is>
      </c>
      <c r="I30" s="77" t="inlineStr">
        <is>
          <t>~5,000 sqm (retail, medical, admin)</t>
        </is>
      </c>
      <c r="J30" s="77" t="inlineStr">
        <is>
          <t>New developer entering the market.</t>
        </is>
      </c>
      <c r="K30" s="77" t="inlineStr">
        <is>
          <t>Not listed.</t>
        </is>
      </c>
      <c r="L30" s="77" t="inlineStr">
        <is>
          <t>100–115</t>
        </is>
      </c>
      <c r="M30" s="77" t="inlineStr">
        <is>
          <t>2026-07-03</t>
        </is>
      </c>
      <c r="N30" s="77" t="inlineStr">
        <is>
          <t>2026-09-08</t>
        </is>
      </c>
      <c r="O30" s="77" t="n">
        <v>2</v>
      </c>
      <c r="P30" s="77" t="inlineStr">
        <is>
          <t>Zawya / Daily News Egypt; Daily News Egypt; Zawya; MECSR intel skip log</t>
        </is>
      </c>
      <c r="Q30" s="79" t="inlineStr">
        <is>
          <t>zawya.com</t>
        </is>
      </c>
      <c r="R30" s="77" t="inlineStr">
        <is>
          <t>At the S1 threshold (&lt;5,000 sqm) — check it qualifies.</t>
        </is>
      </c>
      <c r="S30" s="80" t="inlineStr">
        <is>
          <t>Not Started</t>
        </is>
      </c>
      <c r="T30" s="80" t="inlineStr"/>
      <c r="U30" s="80" t="inlineStr"/>
    </row>
    <row r="31">
      <c r="A31" s="77" t="n">
        <v>27</v>
      </c>
      <c r="B31" s="82" t="inlineStr">
        <is>
          <t>Check first</t>
        </is>
      </c>
      <c r="C31" s="77" t="inlineStr">
        <is>
          <t>White Eagle Mall, New Administrative Capital</t>
        </is>
      </c>
      <c r="D31" s="77" t="inlineStr">
        <is>
          <t>New Administrative Capital</t>
        </is>
      </c>
      <c r="E31" s="77" t="inlineStr">
        <is>
          <t>Egypt</t>
        </is>
      </c>
      <c r="F31" s="77" t="inlineStr">
        <is>
          <t>Not named</t>
        </is>
      </c>
      <c r="G31" s="77" t="inlineStr">
        <is>
          <t>'Launched' per a Sep 2022 article</t>
        </is>
      </c>
      <c r="H31" s="77" t="inlineStr">
        <is>
          <t>—</t>
        </is>
      </c>
      <c r="I31" s="77" t="inlineStr">
        <is>
          <t>—</t>
        </is>
      </c>
      <c r="J31" s="77" t="inlineStr">
        <is>
          <t>Only source is four years old.</t>
        </is>
      </c>
      <c r="K31" s="77" t="inlineStr">
        <is>
          <t>Not listed.</t>
        </is>
      </c>
      <c r="L31" s="77" t="inlineStr">
        <is>
          <t>100–115</t>
        </is>
      </c>
      <c r="M31" s="77" t="inlineStr">
        <is>
          <t>2026-06-16</t>
        </is>
      </c>
      <c r="N31" s="77" t="inlineStr">
        <is>
          <t>2026-06-16</t>
        </is>
      </c>
      <c r="O31" s="77" t="n">
        <v>1</v>
      </c>
      <c r="P31" s="77" t="inlineStr">
        <is>
          <t>Zawya</t>
        </is>
      </c>
      <c r="Q31" s="79" t="inlineStr">
        <is>
          <t>zawya.com</t>
        </is>
      </c>
      <c r="R31" s="77" t="inlineStr">
        <is>
          <t>Find a current source before adding.</t>
        </is>
      </c>
      <c r="S31" s="80" t="inlineStr">
        <is>
          <t>Not Started</t>
        </is>
      </c>
      <c r="T31" s="80" t="inlineStr"/>
      <c r="U31" s="80" t="inlineStr"/>
    </row>
    <row r="32">
      <c r="A32" s="77" t="n">
        <v>28</v>
      </c>
      <c r="B32" s="82" t="inlineStr">
        <is>
          <t>Check first</t>
        </is>
      </c>
      <c r="C32" s="77" t="inlineStr">
        <is>
          <t>New Osh Bazaar</t>
        </is>
      </c>
      <c r="D32" s="77" t="inlineStr">
        <is>
          <t>Bishkek</t>
        </is>
      </c>
      <c r="E32" s="77" t="inlineStr">
        <is>
          <t>Kyrgyzstan</t>
        </is>
      </c>
      <c r="F32" s="77" t="inlineStr">
        <is>
          <t>Government of Kyrgyzstan</t>
        </is>
      </c>
      <c r="G32" s="77" t="inlineStr">
        <is>
          <t>Under construction — Aug 2026 completion targeted</t>
        </is>
      </c>
      <c r="H32" s="77" t="inlineStr">
        <is>
          <t>2026</t>
        </is>
      </c>
      <c r="I32" s="77" t="inlineStr">
        <is>
          <t>155,000 sqm · two storeys · 10,000+ retail units</t>
        </is>
      </c>
      <c r="J32" s="77" t="inlineStr">
        <is>
          <t>Replaces Bishkek's central Osh Market.</t>
        </is>
      </c>
      <c r="K32" s="77" t="inlineStr">
        <is>
          <t>Not listed.</t>
        </is>
      </c>
      <c r="L32" s="77" t="inlineStr">
        <is>
          <t>163–165</t>
        </is>
      </c>
      <c r="M32" s="77" t="inlineStr">
        <is>
          <t>2026-09-04</t>
        </is>
      </c>
      <c r="N32" s="77" t="inlineStr">
        <is>
          <t>2026-09-08</t>
        </is>
      </c>
      <c r="O32" s="77" t="n">
        <v>3</v>
      </c>
      <c r="P32" s="77" t="inlineStr">
        <is>
          <t>Akchabar; MECSR intel skip log</t>
        </is>
      </c>
      <c r="Q32" s="79" t="inlineStr">
        <is>
          <t>akchabar.kg</t>
        </is>
      </c>
      <c r="R32" s="77" t="inlineStr">
        <is>
          <t>Confirm completion, and whether a bazaar meets the inclusion rule.</t>
        </is>
      </c>
      <c r="S32" s="80" t="inlineStr">
        <is>
          <t>Not Started</t>
        </is>
      </c>
      <c r="T32" s="80" t="inlineStr"/>
      <c r="U32" s="80" t="inlineStr"/>
    </row>
    <row r="33">
      <c r="A33" s="77" t="n">
        <v>29</v>
      </c>
      <c r="B33" s="82" t="inlineStr">
        <is>
          <t>Check first</t>
        </is>
      </c>
      <c r="C33" s="77" t="inlineStr">
        <is>
          <t>Orca Mall, Eko Atlantic</t>
        </is>
      </c>
      <c r="D33" s="77" t="inlineStr">
        <is>
          <t>Lagos</t>
        </is>
      </c>
      <c r="E33" s="77" t="inlineStr">
        <is>
          <t>Nigeria</t>
        </is>
      </c>
      <c r="F33" s="77" t="inlineStr">
        <is>
          <t>Orca Deco</t>
        </is>
      </c>
      <c r="G33" s="77" t="inlineStr">
        <is>
          <t>Status not stated in the coverage</t>
        </is>
      </c>
      <c r="H33" s="77" t="inlineStr">
        <is>
          <t>—</t>
        </is>
      </c>
      <c r="I33" s="77" t="inlineStr">
        <is>
          <t>50,000 sqm</t>
        </is>
      </c>
      <c r="J33" s="77" t="inlineStr">
        <is>
          <t>Orca Deco's first mall; the Abuja scheme (pipeline above) is its second.</t>
        </is>
      </c>
      <c r="K33" s="77" t="inlineStr">
        <is>
          <t>Not listed.</t>
        </is>
      </c>
      <c r="L33" s="77" t="inlineStr">
        <is>
          <t>179–183</t>
        </is>
      </c>
      <c r="M33" s="77" t="inlineStr">
        <is>
          <t>2026-08-27</t>
        </is>
      </c>
      <c r="N33" s="77" t="inlineStr">
        <is>
          <t>2026-09-02</t>
        </is>
      </c>
      <c r="O33" s="77" t="n">
        <v>2</v>
      </c>
      <c r="P33" s="77" t="inlineStr">
        <is>
          <t>BusinessDay NG; MECSR intel skip log</t>
        </is>
      </c>
      <c r="Q33" s="79" t="inlineStr">
        <is>
          <t>businessday.ng</t>
        </is>
      </c>
      <c r="R33" s="77" t="inlineStr">
        <is>
          <t>Check whether it is trading.</t>
        </is>
      </c>
      <c r="S33" s="80" t="inlineStr">
        <is>
          <t>Not Started</t>
        </is>
      </c>
      <c r="T33" s="80" t="inlineStr"/>
      <c r="U33" s="80" t="inlineStr"/>
    </row>
    <row r="34">
      <c r="A34" s="77" t="n">
        <v>30</v>
      </c>
      <c r="B34" s="82" t="inlineStr">
        <is>
          <t>Check first</t>
        </is>
      </c>
      <c r="C34" s="77" t="inlineStr">
        <is>
          <t>Safari Shopping Centre, Logistics Village Qatar</t>
        </is>
      </c>
      <c r="D34" s="77" t="inlineStr">
        <is>
          <t>Doha (near Hamad Port)</t>
        </is>
      </c>
      <c r="E34" s="77" t="inlineStr">
        <is>
          <t>Qatar</t>
        </is>
      </c>
      <c r="F34" s="77" t="inlineStr">
        <is>
          <t>GWC Group (15-year lease)</t>
        </is>
      </c>
      <c r="G34" s="77" t="inlineStr">
        <is>
          <t>Lease signed (Aug 2026)</t>
        </is>
      </c>
      <c r="H34" s="77" t="inlineStr">
        <is>
          <t>—</t>
        </is>
      </c>
      <c r="I34" s="77" t="inlineStr">
        <is>
          <t>3,613 sqm retail + 5,000 sqm parking</t>
        </is>
      </c>
      <c r="J34" s="77" t="inlineStr">
        <is>
          <t>Retail space inside a 1m sqm logistics hub.</t>
        </is>
      </c>
      <c r="K34" s="77" t="inlineStr">
        <is>
          <t>Not listed.</t>
        </is>
      </c>
      <c r="L34" s="77" t="inlineStr">
        <is>
          <t>200–205</t>
        </is>
      </c>
      <c r="M34" s="77" t="inlineStr">
        <is>
          <t>2026-09-02</t>
        </is>
      </c>
      <c r="N34" s="77" t="inlineStr">
        <is>
          <t>2026-09-02</t>
        </is>
      </c>
      <c r="O34" s="77" t="n">
        <v>1</v>
      </c>
      <c r="P34" s="77" t="inlineStr">
        <is>
          <t>Zawya (press release); Zawya</t>
        </is>
      </c>
      <c r="Q34" s="79" t="inlineStr">
        <is>
          <t>zawya.com</t>
        </is>
      </c>
      <c r="R34" s="77" t="inlineStr">
        <is>
          <t>Check it is a shopping centre and not a staff-retail unit.</t>
        </is>
      </c>
      <c r="S34" s="80" t="inlineStr">
        <is>
          <t>Not Started</t>
        </is>
      </c>
      <c r="T34" s="80" t="inlineStr"/>
      <c r="U34" s="80" t="inlineStr"/>
    </row>
    <row r="35">
      <c r="A35" s="77" t="n">
        <v>31</v>
      </c>
      <c r="B35" s="82" t="inlineStr">
        <is>
          <t>Check first</t>
        </is>
      </c>
      <c r="C35" s="77" t="inlineStr">
        <is>
          <t>Florentia Village Istanbul</t>
        </is>
      </c>
      <c r="D35" s="77" t="inlineStr">
        <is>
          <t>Istanbul (Arnavutköy)</t>
        </is>
      </c>
      <c r="E35" s="77" t="inlineStr">
        <is>
          <t>Türkiye</t>
        </is>
      </c>
      <c r="F35" s="77" t="inlineStr">
        <is>
          <t>Kalyon Kampüs with RDM-Fingen</t>
        </is>
      </c>
      <c r="G35" s="77" t="inlineStr">
        <is>
          <t>Was due Mar 2026; opening not confirmed</t>
        </is>
      </c>
      <c r="H35" s="77" t="inlineStr">
        <is>
          <t>2026</t>
        </is>
      </c>
      <c r="I35" s="77" t="inlineStr">
        <is>
          <t>€160m · 300+ stores (luxury outlet)</t>
        </is>
      </c>
      <c r="J35" s="77" t="inlineStr">
        <is>
          <t>Designer outlet the intel has tracked since July; still on the watch list on 6 Oct.</t>
        </is>
      </c>
      <c r="K35" s="77" t="inlineStr">
        <is>
          <t>Not listed.</t>
        </is>
      </c>
      <c r="L35" s="77" t="inlineStr">
        <is>
          <t>245–260</t>
        </is>
      </c>
      <c r="M35" s="77" t="inlineStr">
        <is>
          <t>2026-07-16</t>
        </is>
      </c>
      <c r="N35" s="77" t="inlineStr">
        <is>
          <t>2026-10-06</t>
        </is>
      </c>
      <c r="O35" s="77" t="n">
        <v>2</v>
      </c>
      <c r="P35" s="77" t="inlineStr">
        <is>
          <t>Anadolu Agency via Malatya Söz; Mall Report; MECSR intel skip log</t>
        </is>
      </c>
      <c r="Q35" s="79" t="inlineStr">
        <is>
          <t>malatyasoz.com</t>
        </is>
      </c>
      <c r="R35" s="77" t="inlineStr">
        <is>
          <t>Confirm whether it has opened.</t>
        </is>
      </c>
      <c r="S35" s="80" t="inlineStr">
        <is>
          <t>Not Started</t>
        </is>
      </c>
      <c r="T35" s="80" t="inlineStr"/>
      <c r="U35" s="80" t="inlineStr"/>
    </row>
    <row r="36">
      <c r="A36" s="77" t="n">
        <v>32</v>
      </c>
      <c r="B36" s="82" t="inlineStr">
        <is>
          <t>Check first</t>
        </is>
      </c>
      <c r="C36" s="77" t="inlineStr">
        <is>
          <t>Baniyas digital mall &amp; hypermarket</t>
        </is>
      </c>
      <c r="D36" s="77" t="inlineStr">
        <is>
          <t>Abu Dhabi</t>
        </is>
      </c>
      <c r="E36" s="77" t="inlineStr">
        <is>
          <t>UAE</t>
        </is>
      </c>
      <c r="F36" s="77" t="inlineStr">
        <is>
          <t>LuLu Retail with Al Lul Group</t>
        </is>
      </c>
      <c r="G36" s="77" t="inlineStr">
        <is>
          <t>Completion targeted end-Mar 2026</t>
        </is>
      </c>
      <c r="H36" s="77" t="inlineStr">
        <is>
          <t>2026</t>
        </is>
      </c>
      <c r="I36" s="77" t="inlineStr">
        <is>
          <t>70,000 sq ft hypermarket</t>
        </is>
      </c>
      <c r="J36" s="77" t="inlineStr">
        <is>
          <t>A 'digital mall' paired with a LuLu hypermarket.</t>
        </is>
      </c>
      <c r="K36" s="77" t="inlineStr">
        <is>
          <t>Not listed.</t>
        </is>
      </c>
      <c r="L36" s="77" t="inlineStr">
        <is>
          <t>261–295</t>
        </is>
      </c>
      <c r="M36" s="77" t="inlineStr">
        <is>
          <t>2026-08-03</t>
        </is>
      </c>
      <c r="N36" s="77" t="inlineStr">
        <is>
          <t>2026-08-03</t>
        </is>
      </c>
      <c r="O36" s="77" t="n">
        <v>1</v>
      </c>
      <c r="P36" s="77" t="inlineStr">
        <is>
          <t>LuLu Retail (official)</t>
        </is>
      </c>
      <c r="Q36" s="79" t="inlineStr">
        <is>
          <t>luluretail.com</t>
        </is>
      </c>
      <c r="R36" s="77" t="inlineStr">
        <is>
          <t>Check it opened and whether a hypermarket-led scheme meets the inclusion rule.</t>
        </is>
      </c>
      <c r="S36" s="80" t="inlineStr">
        <is>
          <t>Not Started</t>
        </is>
      </c>
      <c r="T36" s="80" t="inlineStr"/>
      <c r="U36" s="80" t="inlineStr"/>
    </row>
    <row r="37">
      <c r="A37" s="77" t="n">
        <v>33</v>
      </c>
      <c r="B37" s="82" t="inlineStr">
        <is>
          <t>Check first</t>
        </is>
      </c>
      <c r="C37" s="77" t="inlineStr">
        <is>
          <t>HAYAT Community Mall</t>
        </is>
      </c>
      <c r="D37" s="77" t="inlineStr">
        <is>
          <t>Dubai</t>
        </is>
      </c>
      <c r="E37" s="77" t="inlineStr">
        <is>
          <t>UAE</t>
        </is>
      </c>
      <c r="F37" s="77" t="inlineStr">
        <is>
          <t>Not named</t>
        </is>
      </c>
      <c r="G37" s="77" t="inlineStr">
        <is>
          <t>Named in a 2026 pipeline round-up</t>
        </is>
      </c>
      <c r="H37" s="77" t="inlineStr">
        <is>
          <t>2026</t>
        </is>
      </c>
      <c r="I37" s="77" t="inlineStr">
        <is>
          <t>—</t>
        </is>
      </c>
      <c r="J37" s="77" t="inlineStr">
        <is>
          <t>One of nine new Dubai malls in a Gulf News round-up (1 Aug 2026) with Sobha Mall, Le Meryeme, The Villa, South Bay, Ghaf Woods and Dubai Square.</t>
        </is>
      </c>
      <c r="K37" s="77" t="inlineStr">
        <is>
          <t>Not listed (Hayat Mall, p209, is in Saudi Arabia).</t>
        </is>
      </c>
      <c r="L37" s="77" t="inlineStr">
        <is>
          <t>261–295</t>
        </is>
      </c>
      <c r="M37" s="77" t="inlineStr">
        <is>
          <t>2026-09-22</t>
        </is>
      </c>
      <c r="N37" s="77" t="inlineStr">
        <is>
          <t>2026-09-22</t>
        </is>
      </c>
      <c r="O37" s="77" t="n">
        <v>1</v>
      </c>
      <c r="P37" s="77" t="inlineStr">
        <is>
          <t>Gulf News (1 Aug 2026), via the intel skip log</t>
        </is>
      </c>
      <c r="Q37" s="77" t="inlineStr"/>
      <c r="R37" s="77" t="inlineStr">
        <is>
          <t>Confirm developer, location and date.</t>
        </is>
      </c>
      <c r="S37" s="80" t="inlineStr">
        <is>
          <t>Not Started</t>
        </is>
      </c>
      <c r="T37" s="80" t="inlineStr"/>
      <c r="U37" s="80" t="inlineStr"/>
    </row>
    <row r="38">
      <c r="A38" s="77" t="n">
        <v>34</v>
      </c>
      <c r="B38" s="82" t="inlineStr">
        <is>
          <t>Check first</t>
        </is>
      </c>
      <c r="C38" s="77" t="inlineStr">
        <is>
          <t>Sobha Hartland Community Mall ('Sobha Mall')</t>
        </is>
      </c>
      <c r="D38" s="77" t="inlineStr">
        <is>
          <t>Dubai</t>
        </is>
      </c>
      <c r="E38" s="77" t="inlineStr">
        <is>
          <t>UAE</t>
        </is>
      </c>
      <c r="F38" s="77" t="inlineStr">
        <is>
          <t>Sobha Realty</t>
        </is>
      </c>
      <c r="G38" s="77" t="inlineStr">
        <is>
          <t>Under construction</t>
        </is>
      </c>
      <c r="H38" s="77" t="inlineStr">
        <is>
          <t>H2 2026</t>
        </is>
      </c>
      <c r="I38" s="77" t="inlineStr">
        <is>
          <t>AED 210m · 35 outlets + supermarket</t>
        </is>
      </c>
      <c r="J38" s="77" t="inlineStr">
        <is>
          <t>Gulf News lists it among seven UAE malls opening in 2026.</t>
        </is>
      </c>
      <c r="K38" s="77" t="inlineStr">
        <is>
          <t>Probably the listed Sobha Community Retail Centre (p271, 18,580 sqm, opening 2026).</t>
        </is>
      </c>
      <c r="L38" s="77" t="inlineStr">
        <is>
          <t>261–295</t>
        </is>
      </c>
      <c r="M38" s="77" t="inlineStr">
        <is>
          <t>2026-06-16</t>
        </is>
      </c>
      <c r="N38" s="77" t="inlineStr">
        <is>
          <t>2026-09-22</t>
        </is>
      </c>
      <c r="O38" s="77" t="n">
        <v>6</v>
      </c>
      <c r="P38" s="77" t="inlineStr">
        <is>
          <t>Gulf News; Zawya (Shamal Holding release); Time Out Dubai; MECSR intel skip log</t>
        </is>
      </c>
      <c r="Q38" s="79" t="inlineStr">
        <is>
          <t>gulfnews.com</t>
        </is>
      </c>
      <c r="R38" s="77" t="inlineStr">
        <is>
          <t>Confirm with Sobha and update that record rather than add a second one.</t>
        </is>
      </c>
      <c r="S38" s="80" t="inlineStr">
        <is>
          <t>Not Started</t>
        </is>
      </c>
      <c r="T38" s="80" t="inlineStr"/>
      <c r="U38" s="80" t="inlineStr"/>
    </row>
    <row r="39">
      <c r="A39" s="77" t="n">
        <v>35</v>
      </c>
      <c r="B39" s="83" t="inlineStr">
        <is>
          <t>Watch</t>
        </is>
      </c>
      <c r="C39" s="77" t="inlineStr">
        <is>
          <t>Mandawi commercial market</t>
        </is>
      </c>
      <c r="D39" s="77" t="inlineStr">
        <is>
          <t>Kabul</t>
        </is>
      </c>
      <c r="E39" s="77" t="inlineStr">
        <is>
          <t>Afghanistan</t>
        </is>
      </c>
      <c r="F39" s="77" t="inlineStr">
        <is>
          <t>Government (National Procurement Commission)</t>
        </is>
      </c>
      <c r="G39" s="77" t="inlineStr">
        <is>
          <t>Approved (Sep 2026)</t>
        </is>
      </c>
      <c r="H39" s="77" t="inlineStr">
        <is>
          <t>—</t>
        </is>
      </c>
      <c r="I39" s="77" t="inlineStr">
        <is>
          <t>8 storeys · 560 shops · ~AFN 162m</t>
        </is>
      </c>
      <c r="J39" s="77" t="inlineStr">
        <is>
          <t>Built on Ministry of Finance land.</t>
        </is>
      </c>
      <c r="K39" s="77" t="inlineStr">
        <is>
          <t>Not listed.</t>
        </is>
      </c>
      <c r="L39" s="77" t="inlineStr">
        <is>
          <t>80–82</t>
        </is>
      </c>
      <c r="M39" s="77" t="inlineStr">
        <is>
          <t>2026-09-02</t>
        </is>
      </c>
      <c r="N39" s="77" t="inlineStr">
        <is>
          <t>2026-09-03</t>
        </is>
      </c>
      <c r="O39" s="77" t="n">
        <v>2</v>
      </c>
      <c r="P39" s="77" t="inlineStr">
        <is>
          <t>Ariana News; MECSR intel skip log</t>
        </is>
      </c>
      <c r="Q39" s="79" t="inlineStr">
        <is>
          <t>ariananews.af</t>
        </is>
      </c>
      <c r="R39" s="77" t="inlineStr">
        <is>
          <t>Not actionable until construction is confirmed.</t>
        </is>
      </c>
      <c r="S39" s="80" t="inlineStr">
        <is>
          <t>Not Started</t>
        </is>
      </c>
      <c r="T39" s="80" t="inlineStr"/>
      <c r="U39" s="80" t="inlineStr"/>
    </row>
    <row r="40">
      <c r="A40" s="77" t="n">
        <v>36</v>
      </c>
      <c r="B40" s="83" t="inlineStr">
        <is>
          <t>Watch</t>
        </is>
      </c>
      <c r="C40" s="77" t="inlineStr">
        <is>
          <t>Six Flags Bahrain (proposed)</t>
        </is>
      </c>
      <c r="D40" s="77" t="inlineStr">
        <is>
          <t>Not stated</t>
        </is>
      </c>
      <c r="E40" s="77" t="inlineStr">
        <is>
          <t>Bahrain</t>
        </is>
      </c>
      <c r="F40" s="77" t="inlineStr">
        <is>
          <t>Capital Trustees (proposal)</t>
        </is>
      </c>
      <c r="G40" s="77" t="inlineStr">
        <is>
          <t>Backed by Parliament's financial committee</t>
        </is>
      </c>
      <c r="H40" s="77" t="inlineStr">
        <is>
          <t>—</t>
        </is>
      </c>
      <c r="I40" s="77" t="inlineStr">
        <is>
          <t>—</t>
        </is>
      </c>
      <c r="J40" s="77" t="inlineStr">
        <is>
          <t>Theme park with a retail spin-off; referred to the Sustainable Development Ministry.</t>
        </is>
      </c>
      <c r="K40" s="77" t="inlineStr">
        <is>
          <t>Not listed.</t>
        </is>
      </c>
      <c r="L40" s="77" t="inlineStr">
        <is>
          <t>92–99</t>
        </is>
      </c>
      <c r="M40" s="77" t="inlineStr">
        <is>
          <t>2026-07-15</t>
        </is>
      </c>
      <c r="N40" s="77" t="inlineStr">
        <is>
          <t>2026-07-15</t>
        </is>
      </c>
      <c r="O40" s="77" t="n">
        <v>1</v>
      </c>
      <c r="P40" s="77" t="inlineStr">
        <is>
          <t>Construction Week Online</t>
        </is>
      </c>
      <c r="Q40" s="79" t="inlineStr">
        <is>
          <t>constructionweekonline.com</t>
        </is>
      </c>
      <c r="R40" s="77" t="inlineStr">
        <is>
          <t>Watch for an official response.</t>
        </is>
      </c>
      <c r="S40" s="80" t="inlineStr">
        <is>
          <t>Not Started</t>
        </is>
      </c>
      <c r="T40" s="80" t="inlineStr"/>
      <c r="U40" s="80" t="inlineStr"/>
    </row>
    <row r="41">
      <c r="A41" s="77" t="n">
        <v>37</v>
      </c>
      <c r="B41" s="83" t="inlineStr">
        <is>
          <t>Watch</t>
        </is>
      </c>
      <c r="C41" s="77" t="inlineStr">
        <is>
          <t>Heliopolis mixed-use</t>
        </is>
      </c>
      <c r="D41" s="77" t="inlineStr">
        <is>
          <t>Cairo</t>
        </is>
      </c>
      <c r="E41" s="77" t="inlineStr">
        <is>
          <t>Egypt</t>
        </is>
      </c>
      <c r="F41" s="77" t="inlineStr">
        <is>
          <t>Gulf Egypt Hotels &amp; Tourism (United Real Estate Co.)</t>
        </is>
      </c>
      <c r="G41" s="77" t="inlineStr">
        <is>
          <t>Launched 21 Sep 2026</t>
        </is>
      </c>
      <c r="H41" s="77" t="inlineStr">
        <is>
          <t>—</t>
        </is>
      </c>
      <c r="I41" s="77" t="inlineStr">
        <is>
          <t>31,780 sqm</t>
        </is>
      </c>
      <c r="J41" s="77" t="inlineStr">
        <is>
          <t>Next to its Waldorf Astoria and Hilton hotels.</t>
        </is>
      </c>
      <c r="K41" s="77" t="inlineStr">
        <is>
          <t>Not listed.</t>
        </is>
      </c>
      <c r="L41" s="77" t="inlineStr">
        <is>
          <t>100–115</t>
        </is>
      </c>
      <c r="M41" s="77" t="inlineStr">
        <is>
          <t>2026-09-24</t>
        </is>
      </c>
      <c r="N41" s="77" t="inlineStr">
        <is>
          <t>2026-09-24</t>
        </is>
      </c>
      <c r="O41" s="77" t="n">
        <v>1</v>
      </c>
      <c r="P41" s="77" t="inlineStr">
        <is>
          <t>Reuters/TradingView; Reuters; TradingView</t>
        </is>
      </c>
      <c r="Q41" s="79" t="inlineStr">
        <is>
          <t>tradingview.com</t>
        </is>
      </c>
      <c r="R41" s="77" t="inlineStr">
        <is>
          <t>Watch for the retail component and launch date.</t>
        </is>
      </c>
      <c r="S41" s="80" t="inlineStr">
        <is>
          <t>Not Started</t>
        </is>
      </c>
      <c r="T41" s="80" t="inlineStr"/>
      <c r="U41" s="80" t="inlineStr"/>
    </row>
    <row r="42">
      <c r="A42" s="77" t="n">
        <v>38</v>
      </c>
      <c r="B42" s="83" t="inlineStr">
        <is>
          <t>Watch</t>
        </is>
      </c>
      <c r="C42" s="77" t="inlineStr">
        <is>
          <t>Mada City, New Cairo</t>
        </is>
      </c>
      <c r="D42" s="77" t="inlineStr">
        <is>
          <t>New Cairo</t>
        </is>
      </c>
      <c r="E42" s="77" t="inlineStr">
        <is>
          <t>Egypt</t>
        </is>
      </c>
      <c r="F42" s="77" t="inlineStr">
        <is>
          <t>Majid Al Futtaim with MIDAR</t>
        </is>
      </c>
      <c r="G42" s="77" t="inlineStr">
        <is>
          <t>Partnership signed 21 Jun 2026</t>
        </is>
      </c>
      <c r="H42" s="77" t="inlineStr">
        <is>
          <t>Phase 2 TBC</t>
        </is>
      </c>
      <c r="I42" s="77" t="inlineStr">
        <is>
          <t>US$3.1bn · Phase 2 has a 252,000 sqm shopping &amp; entertainment hub</t>
        </is>
      </c>
      <c r="J42" s="77" t="inlineStr">
        <is>
          <t>MAF's first residential project in Egypt; 6,000 homes in Phase 1.</t>
        </is>
      </c>
      <c r="K42" s="77" t="inlineStr">
        <is>
          <t>Not listed.</t>
        </is>
      </c>
      <c r="L42" s="77" t="inlineStr">
        <is>
          <t>100–115</t>
        </is>
      </c>
      <c r="M42" s="77" t="inlineStr">
        <is>
          <t>2026-06-22</t>
        </is>
      </c>
      <c r="N42" s="77" t="inlineStr">
        <is>
          <t>2026-09-03</t>
        </is>
      </c>
      <c r="O42" s="77" t="n">
        <v>4</v>
      </c>
      <c r="P42" s="77" t="inlineStr">
        <is>
          <t>The National; Zawya; Gulf News; Egypt Today / AGBI</t>
        </is>
      </c>
      <c r="Q42" s="79" t="inlineStr">
        <is>
          <t>thenationalnews.com</t>
        </is>
      </c>
      <c r="R42" s="77" t="inlineStr">
        <is>
          <t>Add the retail hub once Phase 2 is dated.</t>
        </is>
      </c>
      <c r="S42" s="80" t="inlineStr">
        <is>
          <t>Not Started</t>
        </is>
      </c>
      <c r="T42" s="80" t="inlineStr"/>
      <c r="U42" s="80" t="inlineStr"/>
    </row>
    <row r="43">
      <c r="A43" s="77" t="n">
        <v>39</v>
      </c>
      <c r="B43" s="83" t="inlineStr">
        <is>
          <t>Watch</t>
        </is>
      </c>
      <c r="C43" s="77" t="inlineStr">
        <is>
          <t>Neo, New Cairo</t>
        </is>
      </c>
      <c r="D43" s="77" t="inlineStr">
        <is>
          <t>New Cairo</t>
        </is>
      </c>
      <c r="E43" s="77" t="inlineStr">
        <is>
          <t>Egypt</t>
        </is>
      </c>
      <c r="F43" s="77" t="inlineStr">
        <is>
          <t>JUZUR</t>
        </is>
      </c>
      <c r="G43" s="77" t="inlineStr">
        <is>
          <t>Concept and leasing MoU signed (Jul 2026)</t>
        </is>
      </c>
      <c r="H43" s="77" t="inlineStr">
        <is>
          <t>2028</t>
        </is>
      </c>
      <c r="I43" s="77" t="inlineStr">
        <is>
          <t>—</t>
        </is>
      </c>
      <c r="J43" s="77" t="inlineStr">
        <is>
          <t>Hossam Fahmy Consultancy appointed for concept, tenant mix and leasing.</t>
        </is>
      </c>
      <c r="K43" s="77" t="inlineStr">
        <is>
          <t>Not listed.</t>
        </is>
      </c>
      <c r="L43" s="77" t="inlineStr">
        <is>
          <t>100–115</t>
        </is>
      </c>
      <c r="M43" s="77" t="inlineStr">
        <is>
          <t>2026-07-07</t>
        </is>
      </c>
      <c r="N43" s="77" t="inlineStr">
        <is>
          <t>2026-07-07</t>
        </is>
      </c>
      <c r="O43" s="77" t="n">
        <v>1</v>
      </c>
      <c r="P43" s="77" t="inlineStr">
        <is>
          <t>Daily News Egypt; INTLBM</t>
        </is>
      </c>
      <c r="Q43" s="79" t="inlineStr">
        <is>
          <t>dailynewsegypt.com</t>
        </is>
      </c>
      <c r="R43" s="77" t="inlineStr">
        <is>
          <t>JUZUR is also a membership prospect.</t>
        </is>
      </c>
      <c r="S43" s="80" t="inlineStr">
        <is>
          <t>Not Started</t>
        </is>
      </c>
      <c r="T43" s="80" t="inlineStr"/>
      <c r="U43" s="80" t="inlineStr"/>
    </row>
    <row r="44">
      <c r="A44" s="77" t="n">
        <v>40</v>
      </c>
      <c r="B44" s="83" t="inlineStr">
        <is>
          <t>Watch</t>
        </is>
      </c>
      <c r="C44" s="77" t="inlineStr">
        <is>
          <t>SIA Boulevard, 6th of October City</t>
        </is>
      </c>
      <c r="D44" s="77" t="inlineStr">
        <is>
          <t>Giza</t>
        </is>
      </c>
      <c r="E44" s="77" t="inlineStr">
        <is>
          <t>Egypt</t>
        </is>
      </c>
      <c r="F44" s="77" t="inlineStr">
        <is>
          <t>Zawaya Developments and EDIC Developments</t>
        </is>
      </c>
      <c r="G44" s="77" t="inlineStr">
        <is>
          <t>Excavation under way</t>
        </is>
      </c>
      <c r="H44" s="77" t="inlineStr">
        <is>
          <t>~2029 (three-year build)</t>
        </is>
      </c>
      <c r="I44" s="77" t="inlineStr">
        <is>
          <t>EGP 3.5bn</t>
        </is>
      </c>
      <c r="J44" s="77" t="inlineStr">
        <is>
          <t>Mixed-use retail boulevard at Al-Najda Square.</t>
        </is>
      </c>
      <c r="K44" s="77" t="inlineStr">
        <is>
          <t>Not listed.</t>
        </is>
      </c>
      <c r="L44" s="77" t="inlineStr">
        <is>
          <t>100–115</t>
        </is>
      </c>
      <c r="M44" s="77" t="inlineStr">
        <is>
          <t>2026-09-01</t>
        </is>
      </c>
      <c r="N44" s="77" t="inlineStr">
        <is>
          <t>2026-10-09</t>
        </is>
      </c>
      <c r="O44" s="77" t="n">
        <v>5</v>
      </c>
      <c r="P44" s="77" t="inlineStr">
        <is>
          <t>Daily News Egypt; Zawya; MECSR intel skip log</t>
        </is>
      </c>
      <c r="Q44" s="79" t="inlineStr">
        <is>
          <t>dailynewsegypt.com</t>
        </is>
      </c>
      <c r="R44" s="77" t="inlineStr">
        <is>
          <t>Track; not a candidate until operational.</t>
        </is>
      </c>
      <c r="S44" s="80" t="inlineStr">
        <is>
          <t>Not Started</t>
        </is>
      </c>
      <c r="T44" s="80" t="inlineStr"/>
      <c r="U44" s="80" t="inlineStr"/>
    </row>
    <row r="45">
      <c r="A45" s="77" t="n">
        <v>41</v>
      </c>
      <c r="B45" s="83" t="inlineStr">
        <is>
          <t>Watch</t>
        </is>
      </c>
      <c r="C45" s="77" t="inlineStr">
        <is>
          <t>Sharm El Sheikh destination</t>
        </is>
      </c>
      <c r="D45" s="77" t="inlineStr">
        <is>
          <t>Sharm El Sheikh</t>
        </is>
      </c>
      <c r="E45" s="77" t="inlineStr">
        <is>
          <t>Egypt</t>
        </is>
      </c>
      <c r="F45" s="77" t="inlineStr">
        <is>
          <t>Gulf Egypt for Hotels &amp; Tourism (United Real Estate Co.)</t>
        </is>
      </c>
      <c r="G45" s="77" t="inlineStr">
        <is>
          <t>Announced 13 Jul 2026</t>
        </is>
      </c>
      <c r="H45" s="77" t="inlineStr">
        <is>
          <t>—</t>
        </is>
      </c>
      <c r="I45" s="77" t="inlineStr">
        <is>
          <t>EGP 20bn</t>
        </is>
      </c>
      <c r="J45" s="77" t="inlineStr">
        <is>
          <t>Hotel, two residential communities, beach club and a retail and leisure component.</t>
        </is>
      </c>
      <c r="K45" s="77" t="inlineStr">
        <is>
          <t>Not listed.</t>
        </is>
      </c>
      <c r="L45" s="77" t="inlineStr">
        <is>
          <t>100–115</t>
        </is>
      </c>
      <c r="M45" s="77" t="inlineStr">
        <is>
          <t>2026-07-26</t>
        </is>
      </c>
      <c r="N45" s="77" t="inlineStr">
        <is>
          <t>2026-07-26</t>
        </is>
      </c>
      <c r="O45" s="77" t="n">
        <v>1</v>
      </c>
      <c r="P45" s="77" t="inlineStr">
        <is>
          <t>Zawya (via TradingView)</t>
        </is>
      </c>
      <c r="Q45" s="79" t="inlineStr">
        <is>
          <t>tradingview.com</t>
        </is>
      </c>
      <c r="R45" s="77" t="inlineStr">
        <is>
          <t>Watch for a named retail element.</t>
        </is>
      </c>
      <c r="S45" s="80" t="inlineStr">
        <is>
          <t>Not Started</t>
        </is>
      </c>
      <c r="T45" s="80" t="inlineStr"/>
      <c r="U45" s="80" t="inlineStr"/>
    </row>
    <row r="46">
      <c r="A46" s="77" t="n">
        <v>42</v>
      </c>
      <c r="B46" s="83" t="inlineStr">
        <is>
          <t>Watch</t>
        </is>
      </c>
      <c r="C46" s="77" t="inlineStr">
        <is>
          <t>Somou Boulevard</t>
        </is>
      </c>
      <c r="D46" s="77" t="inlineStr">
        <is>
          <t>Not stated</t>
        </is>
      </c>
      <c r="E46" s="77" t="inlineStr">
        <is>
          <t>Egypt</t>
        </is>
      </c>
      <c r="F46" s="77" t="inlineStr">
        <is>
          <t>Paragon</t>
        </is>
      </c>
      <c r="G46" s="77" t="inlineStr">
        <is>
          <t>Announced</t>
        </is>
      </c>
      <c r="H46" s="77" t="inlineStr">
        <is>
          <t>2030</t>
        </is>
      </c>
      <c r="I46" s="77" t="inlineStr">
        <is>
          <t>—</t>
        </is>
      </c>
      <c r="J46" s="77" t="inlineStr">
        <is>
          <t>Pitched as Egypt's first 'ungated' mixed-use scheme at scale.</t>
        </is>
      </c>
      <c r="K46" s="77" t="inlineStr">
        <is>
          <t>Not listed.</t>
        </is>
      </c>
      <c r="L46" s="77" t="inlineStr">
        <is>
          <t>100–115</t>
        </is>
      </c>
      <c r="M46" s="77" t="inlineStr">
        <is>
          <t>2026-07-26</t>
        </is>
      </c>
      <c r="N46" s="77" t="inlineStr">
        <is>
          <t>2026-07-26</t>
        </is>
      </c>
      <c r="O46" s="77" t="n">
        <v>1</v>
      </c>
      <c r="P46" s="77" t="inlineStr">
        <is>
          <t>enterpriseam.com; enterpriseam.com — cross-ref recommended</t>
        </is>
      </c>
      <c r="Q46" s="79" t="inlineStr">
        <is>
          <t>enterpriseam.com</t>
        </is>
      </c>
      <c r="R46" s="77" t="inlineStr">
        <is>
          <t>Single source so far — find a second outlet.</t>
        </is>
      </c>
      <c r="S46" s="80" t="inlineStr">
        <is>
          <t>Not Started</t>
        </is>
      </c>
      <c r="T46" s="80" t="inlineStr"/>
      <c r="U46" s="80" t="inlineStr"/>
    </row>
    <row r="47">
      <c r="A47" s="77" t="n">
        <v>43</v>
      </c>
      <c r="B47" s="83" t="inlineStr">
        <is>
          <t>Watch</t>
        </is>
      </c>
      <c r="C47" s="77" t="inlineStr">
        <is>
          <t>Walk'n and three further malls</t>
        </is>
      </c>
      <c r="D47" s="77" t="inlineStr">
        <is>
          <t>6th of October City</t>
        </is>
      </c>
      <c r="E47" s="77" t="inlineStr">
        <is>
          <t>Egypt</t>
        </is>
      </c>
      <c r="F47" s="77" t="inlineStr">
        <is>
          <t>Dubai Development (Egypt)</t>
        </is>
      </c>
      <c r="G47" s="77" t="inlineStr">
        <is>
          <t>Walk'n launched Jul 2026</t>
        </is>
      </c>
      <c r="H47" s="77" t="inlineStr">
        <is>
          <t>2026 launches</t>
        </is>
      </c>
      <c r="I47" s="77" t="inlineStr">
        <is>
          <t>~10 feddan mixed-use</t>
        </is>
      </c>
      <c r="J47" s="77" t="inlineStr">
        <is>
          <t>The developer flags The Address Mall, Dubai Mall (West Cairo) and Strip 13 Mall for later in 2026.</t>
        </is>
      </c>
      <c r="K47" s="77" t="inlineStr">
        <is>
          <t>Not listed.</t>
        </is>
      </c>
      <c r="L47" s="77" t="inlineStr">
        <is>
          <t>100–115</t>
        </is>
      </c>
      <c r="M47" s="77" t="inlineStr">
        <is>
          <t>2026-07-06</t>
        </is>
      </c>
      <c r="N47" s="77" t="inlineStr">
        <is>
          <t>2026-07-29</t>
        </is>
      </c>
      <c r="O47" s="77" t="n">
        <v>2</v>
      </c>
      <c r="P47" s="77" t="inlineStr">
        <is>
          <t>Daily News Egypt; Majid Al Futtaim (official)</t>
        </is>
      </c>
      <c r="Q47" s="79" t="inlineStr">
        <is>
          <t>dailynewsegypt.com</t>
        </is>
      </c>
      <c r="R47" s="77" t="inlineStr">
        <is>
          <t>Track the three launches.</t>
        </is>
      </c>
      <c r="S47" s="80" t="inlineStr">
        <is>
          <t>Not Started</t>
        </is>
      </c>
      <c r="T47" s="80" t="inlineStr"/>
      <c r="U47" s="80" t="inlineStr"/>
    </row>
    <row r="48">
      <c r="A48" s="77" t="n">
        <v>44</v>
      </c>
      <c r="B48" s="83" t="inlineStr">
        <is>
          <t>Watch</t>
        </is>
      </c>
      <c r="C48" s="77" t="inlineStr">
        <is>
          <t>Ellington Mall and Dostyk Plaza Astana</t>
        </is>
      </c>
      <c r="D48" s="77" t="inlineStr">
        <is>
          <t>Astana</t>
        </is>
      </c>
      <c r="E48" s="77" t="inlineStr">
        <is>
          <t>Kazakhstan</t>
        </is>
      </c>
      <c r="F48" s="77" t="inlineStr">
        <is>
          <t>Not named</t>
        </is>
      </c>
      <c r="G48" s="77" t="inlineStr">
        <is>
          <t>Under construction / planning</t>
        </is>
      </c>
      <c r="H48" s="77" t="inlineStr">
        <is>
          <t>—</t>
        </is>
      </c>
      <c r="I48" s="77" t="inlineStr">
        <is>
          <t>—</t>
        </is>
      </c>
      <c r="J48" s="77" t="inlineStr">
        <is>
          <t>Ellington Mall includes a waterpark; a further MEGA-branded centre is also planned.</t>
        </is>
      </c>
      <c r="K48" s="77" t="inlineStr">
        <is>
          <t>Not listed (Dostyk Plaza on p144 is the Almaty centre).</t>
        </is>
      </c>
      <c r="L48" s="77" t="inlineStr">
        <is>
          <t>143–148</t>
        </is>
      </c>
      <c r="M48" s="77" t="inlineStr">
        <is>
          <t>2026-09-03</t>
        </is>
      </c>
      <c r="N48" s="77" t="inlineStr">
        <is>
          <t>2026-09-03</t>
        </is>
      </c>
      <c r="O48" s="77" t="n">
        <v>1</v>
      </c>
      <c r="P48" s="77" t="inlineStr">
        <is>
          <t>24.kz</t>
        </is>
      </c>
      <c r="Q48" s="79" t="inlineStr">
        <is>
          <t>24.kz</t>
        </is>
      </c>
      <c r="R48" s="77" t="inlineStr">
        <is>
          <t>Confirm developers and dates.</t>
        </is>
      </c>
      <c r="S48" s="80" t="inlineStr">
        <is>
          <t>Not Started</t>
        </is>
      </c>
      <c r="T48" s="80" t="inlineStr"/>
      <c r="U48" s="80" t="inlineStr"/>
    </row>
    <row r="49">
      <c r="A49" s="77" t="n">
        <v>45</v>
      </c>
      <c r="B49" s="83" t="inlineStr">
        <is>
          <t>Watch</t>
        </is>
      </c>
      <c r="C49" s="77" t="inlineStr">
        <is>
          <t>International outlet centre, Almaty region</t>
        </is>
      </c>
      <c r="D49" s="77" t="inlineStr">
        <is>
          <t>Almaty region</t>
        </is>
      </c>
      <c r="E49" s="77" t="inlineStr">
        <is>
          <t>Kazakhstan</t>
        </is>
      </c>
      <c r="F49" s="77" t="inlineStr">
        <is>
          <t>QSM Group with Ekazent Management</t>
        </is>
      </c>
      <c r="G49" s="77" t="inlineStr">
        <is>
          <t>Announced May 2025</t>
        </is>
      </c>
      <c r="H49" s="77" t="inlineStr">
        <is>
          <t>—</t>
        </is>
      </c>
      <c r="I49" s="77" t="inlineStr">
        <is>
          <t>80,000–120,000 sqm</t>
        </is>
      </c>
      <c r="J49" s="77" t="inlineStr">
        <is>
          <t>Kazakhstan's first international outlet centre.</t>
        </is>
      </c>
      <c r="K49" s="77" t="inlineStr">
        <is>
          <t>Not listed.</t>
        </is>
      </c>
      <c r="L49" s="77" t="inlineStr">
        <is>
          <t>143–148</t>
        </is>
      </c>
      <c r="M49" s="77" t="inlineStr">
        <is>
          <t>2026-06-26</t>
        </is>
      </c>
      <c r="N49" s="77" t="inlineStr">
        <is>
          <t>2026-10-06</t>
        </is>
      </c>
      <c r="O49" s="77" t="n">
        <v>3</v>
      </c>
      <c r="P49" s="77" t="inlineStr">
        <is>
          <t>Times of Central Asia; MECSR intel skip log</t>
        </is>
      </c>
      <c r="Q49" s="79" t="inlineStr">
        <is>
          <t>timesca.com</t>
        </is>
      </c>
      <c r="R49" s="77" t="inlineStr">
        <is>
          <t>Check for progress since 2025.</t>
        </is>
      </c>
      <c r="S49" s="80" t="inlineStr">
        <is>
          <t>Not Started</t>
        </is>
      </c>
      <c r="T49" s="80" t="inlineStr"/>
      <c r="U49" s="80" t="inlineStr"/>
    </row>
    <row r="50">
      <c r="A50" s="77" t="n">
        <v>46</v>
      </c>
      <c r="B50" s="83" t="inlineStr">
        <is>
          <t>Watch</t>
        </is>
      </c>
      <c r="C50" s="77" t="inlineStr">
        <is>
          <t>Batken trade complex</t>
        </is>
      </c>
      <c r="D50" s="77" t="inlineStr">
        <is>
          <t>Batken</t>
        </is>
      </c>
      <c r="E50" s="77" t="inlineStr">
        <is>
          <t>Kyrgyzstan</t>
        </is>
      </c>
      <c r="F50" s="77" t="inlineStr">
        <is>
          <t>Government-funded (500m som a year)</t>
        </is>
      </c>
      <c r="G50" s="77" t="inlineStr">
        <is>
          <t>First block complete; four phases</t>
        </is>
      </c>
      <c r="H50" s="77" t="inlineStr">
        <is>
          <t>—</t>
        </is>
      </c>
      <c r="I50" s="77" t="inlineStr">
        <is>
          <t>—</t>
        </is>
      </c>
      <c r="J50" s="77" t="inlineStr">
        <is>
          <t>Wholesale and retail complex.</t>
        </is>
      </c>
      <c r="K50" s="77" t="inlineStr">
        <is>
          <t>Not listed.</t>
        </is>
      </c>
      <c r="L50" s="77" t="inlineStr">
        <is>
          <t>163–165</t>
        </is>
      </c>
      <c r="M50" s="77" t="inlineStr">
        <is>
          <t>2026-09-04</t>
        </is>
      </c>
      <c r="N50" s="77" t="inlineStr">
        <is>
          <t>2026-09-07</t>
        </is>
      </c>
      <c r="O50" s="77" t="n">
        <v>2</v>
      </c>
      <c r="P50" s="77" t="inlineStr">
        <is>
          <t>open.kg; MECSR intel skip log</t>
        </is>
      </c>
      <c r="Q50" s="79" t="inlineStr">
        <is>
          <t>open.kg</t>
        </is>
      </c>
      <c r="R50" s="77" t="inlineStr">
        <is>
          <t>Confirm operator and phase dates.</t>
        </is>
      </c>
      <c r="S50" s="80" t="inlineStr">
        <is>
          <t>Not Started</t>
        </is>
      </c>
      <c r="T50" s="80" t="inlineStr"/>
      <c r="U50" s="80" t="inlineStr"/>
    </row>
    <row r="51">
      <c r="A51" s="77" t="n">
        <v>47</v>
      </c>
      <c r="B51" s="83" t="inlineStr">
        <is>
          <t>Watch</t>
        </is>
      </c>
      <c r="C51" s="77" t="inlineStr">
        <is>
          <t>Port Sultan Qaboos waterfront, Muttrah</t>
        </is>
      </c>
      <c r="D51" s="77" t="inlineStr">
        <is>
          <t>Muscat</t>
        </is>
      </c>
      <c r="E51" s="77" t="inlineStr">
        <is>
          <t>Oman</t>
        </is>
      </c>
      <c r="F51" s="77" t="inlineStr">
        <is>
          <t>VA Group</t>
        </is>
      </c>
      <c r="G51" s="77" t="inlineStr">
        <is>
          <t>Land rights secured (Sep 2026)</t>
        </is>
      </c>
      <c r="H51" s="77" t="inlineStr">
        <is>
          <t>—</t>
        </is>
      </c>
      <c r="I51" s="77" t="inlineStr">
        <is>
          <t>18.5 ha</t>
        </is>
      </c>
      <c r="J51" s="77" t="inlineStr">
        <is>
          <t>Residences, retail and cultural attractions in historic Muttrah.</t>
        </is>
      </c>
      <c r="K51" s="77" t="inlineStr">
        <is>
          <t>Not listed.</t>
        </is>
      </c>
      <c r="L51" s="77" t="inlineStr">
        <is>
          <t>184–191</t>
        </is>
      </c>
      <c r="M51" s="77" t="inlineStr">
        <is>
          <t>2026-09-17</t>
        </is>
      </c>
      <c r="N51" s="77" t="inlineStr">
        <is>
          <t>2026-09-22</t>
        </is>
      </c>
      <c r="O51" s="77" t="n">
        <v>3</v>
      </c>
      <c r="P51" s="77" t="inlineStr">
        <is>
          <t>Muscat Daily; TradeArabia; MECSR intel skip log</t>
        </is>
      </c>
      <c r="Q51" s="79" t="inlineStr">
        <is>
          <t>muscatdaily.com</t>
        </is>
      </c>
      <c r="R51" s="77" t="inlineStr">
        <is>
          <t>Awaiting project name and retail detail.</t>
        </is>
      </c>
      <c r="S51" s="80" t="inlineStr">
        <is>
          <t>Not Started</t>
        </is>
      </c>
      <c r="T51" s="80" t="inlineStr"/>
      <c r="U51" s="80" t="inlineStr"/>
    </row>
    <row r="52">
      <c r="A52" s="77" t="n">
        <v>48</v>
      </c>
      <c r="B52" s="83" t="inlineStr">
        <is>
          <t>Watch</t>
        </is>
      </c>
      <c r="C52" s="77" t="inlineStr">
        <is>
          <t>Baraha Town (LuLu)</t>
        </is>
      </c>
      <c r="D52" s="77" t="inlineStr">
        <is>
          <t>Doha</t>
        </is>
      </c>
      <c r="E52" s="77" t="inlineStr">
        <is>
          <t>Qatar</t>
        </is>
      </c>
      <c r="F52" s="77" t="inlineStr">
        <is>
          <t>LuLu Group International</t>
        </is>
      </c>
      <c r="G52" s="77" t="inlineStr">
        <is>
          <t>Destination launch planned</t>
        </is>
      </c>
      <c r="H52" s="77" t="inlineStr">
        <is>
          <t>Q1 2027</t>
        </is>
      </c>
      <c r="I52" s="77" t="inlineStr">
        <is>
          <t>QR 500m for three hypermarkets</t>
        </is>
      </c>
      <c r="J52" s="77" t="inlineStr">
        <is>
          <t>One of three new LuLu hypermarkets (Baraha Town, Al Waab, Qetaifan Island).</t>
        </is>
      </c>
      <c r="K52" s="77" t="inlineStr">
        <is>
          <t>Not listed.</t>
        </is>
      </c>
      <c r="L52" s="77" t="inlineStr">
        <is>
          <t>200–205</t>
        </is>
      </c>
      <c r="M52" s="77" t="inlineStr">
        <is>
          <t>2026-07-09</t>
        </is>
      </c>
      <c r="N52" s="77" t="inlineStr">
        <is>
          <t>2026-07-09</t>
        </is>
      </c>
      <c r="O52" s="77" t="n">
        <v>1</v>
      </c>
      <c r="P52" s="77" t="inlineStr">
        <is>
          <t>Qatar Tribune; Gulf Times</t>
        </is>
      </c>
      <c r="Q52" s="79" t="inlineStr">
        <is>
          <t>qatar-tribune.com</t>
        </is>
      </c>
      <c r="R52" s="77" t="inlineStr">
        <is>
          <t>Check whether it is a shopping centre or a hypermarket.</t>
        </is>
      </c>
      <c r="S52" s="80" t="inlineStr">
        <is>
          <t>Not Started</t>
        </is>
      </c>
      <c r="T52" s="80" t="inlineStr"/>
      <c r="U52" s="80" t="inlineStr"/>
    </row>
    <row r="53">
      <c r="A53" s="77" t="n">
        <v>49</v>
      </c>
      <c r="B53" s="83" t="inlineStr">
        <is>
          <t>Watch</t>
        </is>
      </c>
      <c r="C53" s="77" t="inlineStr">
        <is>
          <t>Al Madinah Downtown mall (name TBC)</t>
        </is>
      </c>
      <c r="D53" s="77" t="inlineStr">
        <is>
          <t>Madinah</t>
        </is>
      </c>
      <c r="E53" s="77" t="inlineStr">
        <is>
          <t>Saudi Arabia</t>
        </is>
      </c>
      <c r="F53" s="77" t="inlineStr">
        <is>
          <t>Cenomi Centers with Saudi Downtown Co. (PIF)</t>
        </is>
      </c>
      <c r="G53" s="77" t="inlineStr">
        <is>
          <t>Development-services and promise-to-lease agreements signed (Aug 2026)</t>
        </is>
      </c>
      <c r="H53" s="77" t="inlineStr">
        <is>
          <t>—</t>
        </is>
      </c>
      <c r="I53" s="77" t="inlineStr">
        <is>
          <t>Contract ~SAR 115m</t>
        </is>
      </c>
      <c r="J53" s="77" t="inlineStr">
        <is>
          <t>New mall inside the Al Madinah Downtown scheme.</t>
        </is>
      </c>
      <c r="K53" s="77" t="inlineStr">
        <is>
          <t>Not listed.</t>
        </is>
      </c>
      <c r="L53" s="77" t="inlineStr">
        <is>
          <t>206–237</t>
        </is>
      </c>
      <c r="M53" s="77" t="inlineStr">
        <is>
          <t>2026-08-20</t>
        </is>
      </c>
      <c r="N53" s="77" t="inlineStr">
        <is>
          <t>2026-09-21</t>
        </is>
      </c>
      <c r="O53" s="77" t="n">
        <v>4</v>
      </c>
      <c r="P53" s="77" t="inlineStr">
        <is>
          <t>AGBI; Saudi Exchange (Tadawul); SaudiGulf Projects; MECSR intel skip log</t>
        </is>
      </c>
      <c r="Q53" s="79" t="inlineStr">
        <is>
          <t>agbi.com</t>
        </is>
      </c>
      <c r="R53" s="77" t="inlineStr">
        <is>
          <t>Add once the mall is named.</t>
        </is>
      </c>
      <c r="S53" s="80" t="inlineStr">
        <is>
          <t>Not Started</t>
        </is>
      </c>
      <c r="T53" s="80" t="inlineStr"/>
      <c r="U53" s="80" t="inlineStr"/>
    </row>
    <row r="54">
      <c r="A54" s="77" t="n">
        <v>50</v>
      </c>
      <c r="B54" s="83" t="inlineStr">
        <is>
          <t>Watch</t>
        </is>
      </c>
      <c r="C54" s="77" t="inlineStr">
        <is>
          <t>Knowledge Gardens</t>
        </is>
      </c>
      <c r="D54" s="77" t="inlineStr">
        <is>
          <t>Madinah</t>
        </is>
      </c>
      <c r="E54" s="77" t="inlineStr">
        <is>
          <t>Saudi Arabia</t>
        </is>
      </c>
      <c r="F54" s="77" t="inlineStr">
        <is>
          <t>Knowledge Economic City (Platinum sponsor) with BSF Capital</t>
        </is>
      </c>
      <c r="G54" s="77" t="inlineStr">
        <is>
          <t>LOI for a SAR 7.5bn fund (Jul 2026)</t>
        </is>
      </c>
      <c r="H54" s="77" t="inlineStr">
        <is>
          <t>—</t>
        </is>
      </c>
      <c r="I54" s="77" t="inlineStr">
        <is>
          <t>897,542 sqm GFA incl. ~80,000 sqm commercial/office</t>
        </is>
      </c>
      <c r="J54" s="77" t="inlineStr">
        <is>
          <t>Mixed-use scheme; the commercial component is directory-relevant.</t>
        </is>
      </c>
      <c r="K54" s="77" t="inlineStr">
        <is>
          <t>Not listed.</t>
        </is>
      </c>
      <c r="L54" s="77" t="inlineStr">
        <is>
          <t>206–237</t>
        </is>
      </c>
      <c r="M54" s="77" t="inlineStr">
        <is>
          <t>2026-07-29</t>
        </is>
      </c>
      <c r="N54" s="77" t="inlineStr">
        <is>
          <t>2026-08-21</t>
        </is>
      </c>
      <c r="O54" s="77" t="n">
        <v>3</v>
      </c>
      <c r="P54" s="77" t="inlineStr">
        <is>
          <t>SaudiGulf Projects; TradeArabia; Zawya; MECSR intel skip log</t>
        </is>
      </c>
      <c r="Q54" s="79" t="inlineStr">
        <is>
          <t>saudigulfprojects.com</t>
        </is>
      </c>
      <c r="R54" s="77" t="inlineStr">
        <is>
          <t>Add once the fund agreements are signed.</t>
        </is>
      </c>
      <c r="S54" s="80" t="inlineStr">
        <is>
          <t>Not Started</t>
        </is>
      </c>
      <c r="T54" s="80" t="inlineStr"/>
      <c r="U54" s="80" t="inlineStr"/>
    </row>
    <row r="55">
      <c r="A55" s="77" t="n">
        <v>51</v>
      </c>
      <c r="B55" s="83" t="inlineStr">
        <is>
          <t>Watch</t>
        </is>
      </c>
      <c r="C55" s="77" t="inlineStr">
        <is>
          <t>Seef Dammam</t>
        </is>
      </c>
      <c r="D55" s="77" t="inlineStr">
        <is>
          <t>Dammam</t>
        </is>
      </c>
      <c r="E55" s="77" t="inlineStr">
        <is>
          <t>Saudi Arabia</t>
        </is>
      </c>
      <c r="F55" s="77" t="inlineStr">
        <is>
          <t>Seef Properties and Majd (JV)</t>
        </is>
      </c>
      <c r="G55" s="77" t="inlineStr">
        <is>
          <t>Design phase; construction from Q4 2026</t>
        </is>
      </c>
      <c r="H55" s="77" t="inlineStr">
        <is>
          <t>—</t>
        </is>
      </c>
      <c r="I55" s="77" t="inlineStr">
        <is>
          <t>—</t>
        </is>
      </c>
      <c r="J55" s="77" t="inlineStr">
        <is>
          <t>Mixed-use joint venture in Dammam.</t>
        </is>
      </c>
      <c r="K55" s="77" t="inlineStr">
        <is>
          <t>Not listed.</t>
        </is>
      </c>
      <c r="L55" s="77" t="inlineStr">
        <is>
          <t>206–237</t>
        </is>
      </c>
      <c r="M55" s="77" t="inlineStr">
        <is>
          <t>2026-06-22</t>
        </is>
      </c>
      <c r="N55" s="77" t="inlineStr">
        <is>
          <t>2026-06-22</t>
        </is>
      </c>
      <c r="O55" s="77" t="n">
        <v>1</v>
      </c>
      <c r="P55" s="77" t="inlineStr">
        <is>
          <t>Seef Properties IR</t>
        </is>
      </c>
      <c r="Q55" s="77" t="inlineStr"/>
      <c r="R55" s="77" t="inlineStr">
        <is>
          <t>Watch for the construction start.</t>
        </is>
      </c>
      <c r="S55" s="80" t="inlineStr">
        <is>
          <t>Not Started</t>
        </is>
      </c>
      <c r="T55" s="80" t="inlineStr"/>
      <c r="U55" s="80" t="inlineStr"/>
    </row>
    <row r="56">
      <c r="A56" s="77" t="n">
        <v>52</v>
      </c>
      <c r="B56" s="83" t="inlineStr">
        <is>
          <t>Watch</t>
        </is>
      </c>
      <c r="C56" s="77" t="inlineStr">
        <is>
          <t>Tunis Garden City</t>
        </is>
      </c>
      <c r="D56" s="77" t="inlineStr">
        <is>
          <t>Tunis</t>
        </is>
      </c>
      <c r="E56" s="77" t="inlineStr">
        <is>
          <t>Tunisia</t>
        </is>
      </c>
      <c r="F56" s="77" t="inlineStr">
        <is>
          <t>Not named</t>
        </is>
      </c>
      <c r="G56" s="77" t="inlineStr">
        <is>
          <t>Groundbreaking before end-2026</t>
        </is>
      </c>
      <c r="H56" s="77" t="inlineStr">
        <is>
          <t>—</t>
        </is>
      </c>
      <c r="I56" s="77" t="inlineStr">
        <is>
          <t>—</t>
        </is>
      </c>
      <c r="J56" s="77" t="inlineStr">
        <is>
          <t>Franchisees for Zara, Mango, Massimo Dutti and Celio signed; a second Tunisian mall is nearing completion.</t>
        </is>
      </c>
      <c r="K56" s="77" t="inlineStr">
        <is>
          <t>Not listed (Tunisia has 6 listings, pp 243–244).</t>
        </is>
      </c>
      <c r="L56" s="77" t="inlineStr">
        <is>
          <t>243–244</t>
        </is>
      </c>
      <c r="M56" s="77" t="inlineStr">
        <is>
          <t>2026-07-15</t>
        </is>
      </c>
      <c r="N56" s="77" t="inlineStr">
        <is>
          <t>2026-07-15</t>
        </is>
      </c>
      <c r="O56" s="77" t="n">
        <v>1</v>
      </c>
      <c r="P56" s="77" t="inlineStr">
        <is>
          <t>Sagaci Research; Sagaci Research — cross-reference recommended</t>
        </is>
      </c>
      <c r="Q56" s="79" t="inlineStr">
        <is>
          <t>sagaciresearch.com</t>
        </is>
      </c>
      <c r="R56" s="77" t="inlineStr">
        <is>
          <t>Verify with Tunisian media or the developer.</t>
        </is>
      </c>
      <c r="S56" s="80" t="inlineStr">
        <is>
          <t>Not Started</t>
        </is>
      </c>
      <c r="T56" s="80" t="inlineStr"/>
      <c r="U56" s="80" t="inlineStr"/>
    </row>
    <row r="57">
      <c r="A57" s="77" t="n">
        <v>53</v>
      </c>
      <c r="B57" s="83" t="inlineStr">
        <is>
          <t>Watch</t>
        </is>
      </c>
      <c r="C57" s="77" t="inlineStr">
        <is>
          <t>AYD's five 2026 malls</t>
        </is>
      </c>
      <c r="D57" s="77" t="inlineStr">
        <is>
          <t>Istanbul, Ankara, Muğla, Elazığ, Düzce</t>
        </is>
      </c>
      <c r="E57" s="77" t="inlineStr">
        <is>
          <t>Türkiye</t>
        </is>
      </c>
      <c r="F57" s="77" t="inlineStr">
        <is>
          <t>Various</t>
        </is>
      </c>
      <c r="G57" s="77" t="inlineStr">
        <is>
          <t>Due by end-2026</t>
        </is>
      </c>
      <c r="H57" s="77" t="inlineStr">
        <is>
          <t>2026</t>
        </is>
      </c>
      <c r="I57" s="77" t="inlineStr">
        <is>
          <t>~212,000 sqm GLA in total</t>
        </is>
      </c>
      <c r="J57" s="77" t="inlineStr">
        <is>
          <t>Names not given; Koru Florya and Maximum Life Eryaman may be two of them.</t>
        </is>
      </c>
      <c r="K57" s="77" t="inlineStr">
        <is>
          <t>Not listed.</t>
        </is>
      </c>
      <c r="L57" s="77" t="inlineStr">
        <is>
          <t>245–260</t>
        </is>
      </c>
      <c r="M57" s="77" t="inlineStr">
        <is>
          <t>2026-07-09</t>
        </is>
      </c>
      <c r="N57" s="77" t="inlineStr">
        <is>
          <t>2026-07-16</t>
        </is>
      </c>
      <c r="O57" s="77" t="n">
        <v>2</v>
      </c>
      <c r="P57" s="77" t="inlineStr">
        <is>
          <t>Hürriyet Daily News; Türkiye Today; Anadolu Agency via Malatya Söz; Mall Report</t>
        </is>
      </c>
      <c r="Q57" s="79" t="inlineStr">
        <is>
          <t>hurriyetdailynews.com</t>
        </is>
      </c>
      <c r="R57" s="77" t="inlineStr">
        <is>
          <t>Get the names from AYD.</t>
        </is>
      </c>
      <c r="S57" s="80" t="inlineStr">
        <is>
          <t>Not Started</t>
        </is>
      </c>
      <c r="T57" s="80" t="inlineStr"/>
      <c r="U57" s="80" t="inlineStr"/>
    </row>
    <row r="58">
      <c r="A58" s="77" t="n">
        <v>54</v>
      </c>
      <c r="B58" s="83" t="inlineStr">
        <is>
          <t>Watch</t>
        </is>
      </c>
      <c r="C58" s="77" t="inlineStr">
        <is>
          <t>Ersu AVM</t>
        </is>
      </c>
      <c r="D58" s="77" t="inlineStr">
        <is>
          <t>Konya Ereğli</t>
        </is>
      </c>
      <c r="E58" s="77" t="inlineStr">
        <is>
          <t>Türkiye</t>
        </is>
      </c>
      <c r="F58" s="77" t="inlineStr">
        <is>
          <t>Ersu Meyve ve Gıda</t>
        </is>
      </c>
      <c r="G58" s="77" t="inlineStr">
        <is>
          <t>Design phase</t>
        </is>
      </c>
      <c r="H58" s="77" t="inlineStr">
        <is>
          <t>—</t>
        </is>
      </c>
      <c r="I58" s="77" t="inlineStr">
        <is>
          <t>~110,000 sqm factory conversion</t>
        </is>
      </c>
      <c r="J58" s="77" t="inlineStr">
        <is>
          <t>Idle factory to become a mall, bazaar, hotel and loft apartments.</t>
        </is>
      </c>
      <c r="K58" s="77" t="inlineStr">
        <is>
          <t>Not listed.</t>
        </is>
      </c>
      <c r="L58" s="77" t="inlineStr">
        <is>
          <t>245–260</t>
        </is>
      </c>
      <c r="M58" s="77" t="inlineStr">
        <is>
          <t>2026-09-01</t>
        </is>
      </c>
      <c r="N58" s="77" t="inlineStr">
        <is>
          <t>2026-09-01</t>
        </is>
      </c>
      <c r="O58" s="77" t="n">
        <v>1</v>
      </c>
      <c r="P58" s="77" t="inlineStr">
        <is>
          <t>Mall Report</t>
        </is>
      </c>
      <c r="Q58" s="79" t="inlineStr">
        <is>
          <t>mallreport.com.tr</t>
        </is>
      </c>
      <c r="R58" s="77" t="inlineStr">
        <is>
          <t>Not actionable until construction starts.</t>
        </is>
      </c>
      <c r="S58" s="80" t="inlineStr">
        <is>
          <t>Not Started</t>
        </is>
      </c>
      <c r="T58" s="80" t="inlineStr"/>
      <c r="U58" s="80" t="inlineStr"/>
    </row>
    <row r="59">
      <c r="A59" s="77" t="n">
        <v>55</v>
      </c>
      <c r="B59" s="83" t="inlineStr">
        <is>
          <t>Watch</t>
        </is>
      </c>
      <c r="C59" s="77" t="inlineStr">
        <is>
          <t>Third mall, Battalgazi</t>
        </is>
      </c>
      <c r="D59" s="77" t="inlineStr">
        <is>
          <t>Malatya</t>
        </is>
      </c>
      <c r="E59" s="77" t="inlineStr">
        <is>
          <t>Türkiye</t>
        </is>
      </c>
      <c r="F59" s="77" t="inlineStr">
        <is>
          <t>Not named</t>
        </is>
      </c>
      <c r="G59" s="77" t="inlineStr">
        <is>
          <t>Opening expected late Aug–Sep 2026 (local sources)</t>
        </is>
      </c>
      <c r="H59" s="77" t="inlineStr">
        <is>
          <t>2026</t>
        </is>
      </c>
      <c r="I59" s="77" t="inlineStr">
        <is>
          <t>—</t>
        </is>
      </c>
      <c r="J59" s="77" t="inlineStr">
        <is>
          <t>Third centre in Malatya's Battalgazi district (MalatyaPark is listed, p253).</t>
        </is>
      </c>
      <c r="K59" s="77" t="inlineStr">
        <is>
          <t>Not listed.</t>
        </is>
      </c>
      <c r="L59" s="77" t="inlineStr">
        <is>
          <t>245–260</t>
        </is>
      </c>
      <c r="M59" s="77" t="inlineStr">
        <is>
          <t>2026-09-03</t>
        </is>
      </c>
      <c r="N59" s="77" t="inlineStr">
        <is>
          <t>2026-09-03</t>
        </is>
      </c>
      <c r="O59" s="77" t="n">
        <v>1</v>
      </c>
      <c r="P59" s="77" t="inlineStr">
        <is>
          <t>Yeni Malatya Gazetesi</t>
        </is>
      </c>
      <c r="Q59" s="79" t="inlineStr">
        <is>
          <t>yenimalatya.com.tr</t>
        </is>
      </c>
      <c r="R59" s="77" t="inlineStr">
        <is>
          <t>Add once officially opened and named.</t>
        </is>
      </c>
      <c r="S59" s="80" t="inlineStr">
        <is>
          <t>Not Started</t>
        </is>
      </c>
      <c r="T59" s="80" t="inlineStr"/>
      <c r="U59" s="80" t="inlineStr"/>
    </row>
    <row r="60">
      <c r="A60" s="77" t="n">
        <v>56</v>
      </c>
      <c r="B60" s="83" t="inlineStr">
        <is>
          <t>Watch</t>
        </is>
      </c>
      <c r="C60" s="77" t="inlineStr">
        <is>
          <t>Dubai Square, Dubai Creek Harbour</t>
        </is>
      </c>
      <c r="D60" s="77" t="inlineStr">
        <is>
          <t>Dubai</t>
        </is>
      </c>
      <c r="E60" s="77" t="inlineStr">
        <is>
          <t>UAE</t>
        </is>
      </c>
      <c r="F60" s="77" t="inlineStr">
        <is>
          <t>Emaar Properties (with Dubai Holding)</t>
        </is>
      </c>
      <c r="G60" s="77" t="inlineStr">
        <is>
          <t>Under development — three-year build</t>
        </is>
      </c>
      <c r="H60" s="77" t="inlineStr">
        <is>
          <t>~2029</t>
        </is>
      </c>
      <c r="I60" s="77" t="inlineStr">
        <is>
          <t>2.6m sqm</t>
        </is>
      </c>
      <c r="J60" s="77" t="inlineStr">
        <is>
          <t>Billed as the world's first drive-through mall and the first major mall designed with AI.</t>
        </is>
      </c>
      <c r="K60" s="77" t="inlineStr">
        <is>
          <t>Not listed.</t>
        </is>
      </c>
      <c r="L60" s="77" t="inlineStr">
        <is>
          <t>261–295</t>
        </is>
      </c>
      <c r="M60" s="77" t="inlineStr">
        <is>
          <t>2026-06-22</t>
        </is>
      </c>
      <c r="N60" s="77" t="inlineStr">
        <is>
          <t>2026-09-22</t>
        </is>
      </c>
      <c r="O60" s="77" t="n">
        <v>3</v>
      </c>
      <c r="P60" s="77" t="inlineStr">
        <is>
          <t>Arabian Business; Dubai Holding IR; Zawya (Emaar PR); Gulf News</t>
        </is>
      </c>
      <c r="Q60" s="79" t="inlineStr">
        <is>
          <t>arabianbusiness.com</t>
        </is>
      </c>
      <c r="R60" s="77" t="inlineStr">
        <is>
          <t>Check construction milestones each quarter.</t>
        </is>
      </c>
      <c r="S60" s="80" t="inlineStr">
        <is>
          <t>Not Started</t>
        </is>
      </c>
      <c r="T60" s="80" t="inlineStr"/>
      <c r="U60" s="80" t="inlineStr"/>
    </row>
    <row r="61">
      <c r="A61" s="77" t="n">
        <v>57</v>
      </c>
      <c r="B61" s="83" t="inlineStr">
        <is>
          <t>Watch</t>
        </is>
      </c>
      <c r="C61" s="77" t="inlineStr">
        <is>
          <t>Marsa Al Saadiyat</t>
        </is>
      </c>
      <c r="D61" s="77" t="inlineStr">
        <is>
          <t>Abu Dhabi</t>
        </is>
      </c>
      <c r="E61" s="77" t="inlineStr">
        <is>
          <t>UAE</t>
        </is>
      </c>
      <c r="F61" s="77" t="inlineStr">
        <is>
          <t>Aldar Properties</t>
        </is>
      </c>
      <c r="G61" s="77" t="inlineStr">
        <is>
          <t>Masterplan unveiled (Jul 2026)</t>
        </is>
      </c>
      <c r="H61" s="77" t="inlineStr">
        <is>
          <t>—</t>
        </is>
      </c>
      <c r="I61" s="77" t="inlineStr">
        <is>
          <t>AED 100bn masterplan · 58,000+ residents</t>
        </is>
      </c>
      <c r="J61" s="77" t="inlineStr">
        <is>
          <t>Final phase of Saadiyat Island; retail and F&amp;B components not yet named.</t>
        </is>
      </c>
      <c r="K61" s="77" t="inlineStr">
        <is>
          <t>Not listed.</t>
        </is>
      </c>
      <c r="L61" s="77" t="inlineStr">
        <is>
          <t>261–295</t>
        </is>
      </c>
      <c r="M61" s="77" t="inlineStr">
        <is>
          <t>2026-07-26</t>
        </is>
      </c>
      <c r="N61" s="77" t="inlineStr">
        <is>
          <t>2026-08-05</t>
        </is>
      </c>
      <c r="O61" s="77" t="n">
        <v>3</v>
      </c>
      <c r="P61" s="77" t="inlineStr">
        <is>
          <t>Zawya; The National (Yas Point context); Gulf Business; The National</t>
        </is>
      </c>
      <c r="Q61" s="79" t="inlineStr">
        <is>
          <t>zawya.com</t>
        </is>
      </c>
      <c r="R61" s="77" t="inlineStr">
        <is>
          <t>Watch for the retail component.</t>
        </is>
      </c>
      <c r="S61" s="80" t="inlineStr">
        <is>
          <t>Not Started</t>
        </is>
      </c>
      <c r="T61" s="80" t="inlineStr"/>
      <c r="U61" s="80" t="inlineStr"/>
    </row>
    <row r="62">
      <c r="A62" s="77" t="n">
        <v>58</v>
      </c>
      <c r="B62" s="83" t="inlineStr">
        <is>
          <t>Watch</t>
        </is>
      </c>
      <c r="C62" s="77" t="inlineStr">
        <is>
          <t>O1NE District, Dubai Motor City</t>
        </is>
      </c>
      <c r="D62" s="77" t="inlineStr">
        <is>
          <t>Dubai</t>
        </is>
      </c>
      <c r="E62" s="77" t="inlineStr">
        <is>
          <t>UAE</t>
        </is>
      </c>
      <c r="F62" s="77" t="inlineStr">
        <is>
          <t>AVENEW Development and KORA Properties</t>
        </is>
      </c>
      <c r="G62" s="77" t="inlineStr">
        <is>
          <t>First phase (DAWN office tower) launched</t>
        </is>
      </c>
      <c r="H62" s="77" t="inlineStr">
        <is>
          <t>—</t>
        </is>
      </c>
      <c r="I62" s="77" t="inlineStr">
        <is>
          <t>AED 6bn mixed-use</t>
        </is>
      </c>
      <c r="J62" s="77" t="inlineStr">
        <is>
          <t>Six commercial towers, a retail destination and healthcare; retail GLA not disclosed.</t>
        </is>
      </c>
      <c r="K62" s="77" t="inlineStr">
        <is>
          <t>Not listed.</t>
        </is>
      </c>
      <c r="L62" s="77" t="inlineStr">
        <is>
          <t>261–295</t>
        </is>
      </c>
      <c r="M62" s="77" t="inlineStr">
        <is>
          <t>2026-07-10</t>
        </is>
      </c>
      <c r="N62" s="77" t="inlineStr">
        <is>
          <t>2026-07-10</t>
        </is>
      </c>
      <c r="O62" s="77" t="n">
        <v>1</v>
      </c>
      <c r="P62" s="77" t="inlineStr">
        <is>
          <t>TradeArabia; Gulf News; Khaleej Times; Zawya</t>
        </is>
      </c>
      <c r="Q62" s="79" t="inlineStr">
        <is>
          <t>tradearabia.com</t>
        </is>
      </c>
      <c r="R62" s="77" t="inlineStr">
        <is>
          <t>Request retail GLA and phasing.</t>
        </is>
      </c>
      <c r="S62" s="80" t="inlineStr">
        <is>
          <t>Not Started</t>
        </is>
      </c>
      <c r="T62" s="80" t="inlineStr"/>
      <c r="U62" s="80" t="inlineStr"/>
    </row>
    <row r="63">
      <c r="A63" s="77" t="n">
        <v>59</v>
      </c>
      <c r="B63" s="83" t="inlineStr">
        <is>
          <t>Watch</t>
        </is>
      </c>
      <c r="C63" s="77" t="inlineStr">
        <is>
          <t>Yas Point, Yas Island</t>
        </is>
      </c>
      <c r="D63" s="77" t="inlineStr">
        <is>
          <t>Abu Dhabi</t>
        </is>
      </c>
      <c r="E63" s="77" t="inlineStr">
        <is>
          <t>UAE</t>
        </is>
      </c>
      <c r="F63" s="77" t="inlineStr">
        <is>
          <t>Aldar Properties (member)</t>
        </is>
      </c>
      <c r="G63" s="77" t="inlineStr">
        <is>
          <t>Launched; first residential release sold AED 1.5bn</t>
        </is>
      </c>
      <c r="H63" s="77" t="inlineStr">
        <is>
          <t>—</t>
        </is>
      </c>
      <c r="I63" s="77" t="inlineStr">
        <is>
          <t>AED 6bn · 700m retail &amp; dining promenade</t>
        </is>
      </c>
      <c r="J63" s="77" t="inlineStr">
        <is>
          <t>Waterfront destination near Disneyland Abu Dhabi with 1,600 branded residences, a five-star resort and a school.</t>
        </is>
      </c>
      <c r="K63" s="77" t="inlineStr">
        <is>
          <t>Not listed.</t>
        </is>
      </c>
      <c r="L63" s="77" t="inlineStr">
        <is>
          <t>261–295</t>
        </is>
      </c>
      <c r="M63" s="77" t="inlineStr">
        <is>
          <t>2026-07-13</t>
        </is>
      </c>
      <c r="N63" s="77" t="inlineStr">
        <is>
          <t>2026-09-03</t>
        </is>
      </c>
      <c r="O63" s="77" t="n">
        <v>4</v>
      </c>
      <c r="P63" s="77" t="inlineStr">
        <is>
          <t>The National; Zawya (Aldar press release); Gulf News; Zawya</t>
        </is>
      </c>
      <c r="Q63" s="79" t="inlineStr">
        <is>
          <t>thenationalnews.com</t>
        </is>
      </c>
      <c r="R63" s="77" t="inlineStr">
        <is>
          <t>Ask Aldar for retail GLA and phasing.</t>
        </is>
      </c>
      <c r="S63" s="80" t="inlineStr">
        <is>
          <t>Not Started</t>
        </is>
      </c>
      <c r="T63" s="80" t="inlineStr"/>
      <c r="U63" s="80" t="inlineStr"/>
    </row>
    <row r="64">
      <c r="A64" s="77" t="n">
        <v>60</v>
      </c>
      <c r="B64" s="83" t="inlineStr">
        <is>
          <t>Watch</t>
        </is>
      </c>
      <c r="C64" s="77" t="inlineStr">
        <is>
          <t>Tashkent markets privatisation</t>
        </is>
      </c>
      <c r="D64" s="77" t="inlineStr">
        <is>
          <t>Tashkent</t>
        </is>
      </c>
      <c r="E64" s="77" t="inlineStr">
        <is>
          <t>Uzbekistan</t>
        </is>
      </c>
      <c r="F64" s="77" t="inlineStr">
        <is>
          <t>JSC Tashkent Invest Company (auctions)</t>
        </is>
      </c>
      <c r="G64" s="77" t="inlineStr">
        <is>
          <t>Presidential decree, Jul 2026</t>
        </is>
      </c>
      <c r="H64" s="77" t="inlineStr">
        <is>
          <t>—</t>
        </is>
      </c>
      <c r="I64" s="77" t="inlineStr">
        <is>
          <t>35 markets and shopping complexes</t>
        </is>
      </c>
      <c r="J64" s="77" t="inlineStr">
        <is>
          <t>Buyers must redevelop the sites into modern retail and service facilities.</t>
        </is>
      </c>
      <c r="K64" s="77" t="inlineStr">
        <is>
          <t>Not a single property.</t>
        </is>
      </c>
      <c r="L64" s="77" t="inlineStr">
        <is>
          <t>296–298</t>
        </is>
      </c>
      <c r="M64" s="77" t="inlineStr">
        <is>
          <t>2026-09-03</t>
        </is>
      </c>
      <c r="N64" s="77" t="inlineStr">
        <is>
          <t>2026-09-03</t>
        </is>
      </c>
      <c r="O64" s="77" t="n">
        <v>1</v>
      </c>
      <c r="P64" s="77" t="inlineStr">
        <is>
          <t>Kun.uz</t>
        </is>
      </c>
      <c r="Q64" s="79" t="inlineStr">
        <is>
          <t>kun.uz</t>
        </is>
      </c>
      <c r="R64" s="77" t="inlineStr">
        <is>
          <t>Watch the auctions for named schemes.</t>
        </is>
      </c>
      <c r="S64" s="80" t="inlineStr">
        <is>
          <t>Not Started</t>
        </is>
      </c>
      <c r="T64" s="80" t="inlineStr"/>
      <c r="U64" s="80" t="inlineStr"/>
    </row>
    <row r="65">
      <c r="A65" s="77" t="n">
        <v>61</v>
      </c>
      <c r="B65" s="77" t="inlineStr">
        <is>
          <t>Out of scope</t>
        </is>
      </c>
      <c r="C65" s="77" t="inlineStr">
        <is>
          <t>Westmead (Ibadan)</t>
        </is>
      </c>
      <c r="D65" s="77" t="inlineStr">
        <is>
          <t>Ibadan</t>
        </is>
      </c>
      <c r="E65" s="77" t="inlineStr">
        <is>
          <t>Nigeria</t>
        </is>
      </c>
      <c r="F65" s="77" t="inlineStr">
        <is>
          <t>Westmead</t>
        </is>
      </c>
      <c r="G65" s="77" t="inlineStr">
        <is>
          <t>Fourth outlet opened Sep 2026</t>
        </is>
      </c>
      <c r="H65" s="77" t="inlineStr">
        <is>
          <t>—</t>
        </is>
      </c>
      <c r="I65" s="77" t="inlineStr">
        <is>
          <t>—</t>
        </is>
      </c>
      <c r="J65" s="77" t="inlineStr">
        <is>
          <t>Supermarket-and-farm-market format.</t>
        </is>
      </c>
      <c r="K65" s="77" t="inlineStr">
        <is>
          <t>A store chain, not a mall.</t>
        </is>
      </c>
      <c r="L65" s="77" t="inlineStr">
        <is>
          <t>179–183</t>
        </is>
      </c>
      <c r="M65" s="77" t="inlineStr">
        <is>
          <t>2026-09-24</t>
        </is>
      </c>
      <c r="N65" s="77" t="inlineStr">
        <is>
          <t>2026-09-24</t>
        </is>
      </c>
      <c r="O65" s="77" t="n">
        <v>1</v>
      </c>
      <c r="P65" s="77" t="inlineStr">
        <is>
          <t>ThisDayLive</t>
        </is>
      </c>
      <c r="Q65" s="79" t="inlineStr">
        <is>
          <t>thisdaylive.com</t>
        </is>
      </c>
      <c r="R65" s="77" t="inlineStr">
        <is>
          <t>No directory action.</t>
        </is>
      </c>
      <c r="S65" s="80" t="inlineStr">
        <is>
          <t>Not Started</t>
        </is>
      </c>
      <c r="T65" s="80" t="inlineStr"/>
      <c r="U65" s="80" t="inlineStr"/>
    </row>
    <row r="66">
      <c r="A66" s="77" t="n">
        <v>62</v>
      </c>
      <c r="B66" s="77" t="inlineStr">
        <is>
          <t>Out of scope</t>
        </is>
      </c>
      <c r="C66" s="77" t="inlineStr">
        <is>
          <t>Lulu Express, Al Murooj</t>
        </is>
      </c>
      <c r="D66" s="77" t="inlineStr">
        <is>
          <t>Salalah</t>
        </is>
      </c>
      <c r="E66" s="77" t="inlineStr">
        <is>
          <t>Oman</t>
        </is>
      </c>
      <c r="F66" s="77" t="inlineStr">
        <is>
          <t>LuLu Retail</t>
        </is>
      </c>
      <c r="G66" s="77" t="inlineStr">
        <is>
          <t>Store</t>
        </is>
      </c>
      <c r="H66" s="77" t="inlineStr">
        <is>
          <t>—</t>
        </is>
      </c>
      <c r="I66" s="77" t="inlineStr">
        <is>
          <t>—</t>
        </is>
      </c>
      <c r="J66" s="77" t="inlineStr">
        <is>
          <t>New store in Lulu's Oman footprint.</t>
        </is>
      </c>
      <c r="K66" s="77" t="inlineStr">
        <is>
          <t>A store, not a shopping centre.</t>
        </is>
      </c>
      <c r="L66" s="77" t="inlineStr">
        <is>
          <t>184–191</t>
        </is>
      </c>
      <c r="M66" s="77" t="inlineStr">
        <is>
          <t>2026-08-20</t>
        </is>
      </c>
      <c r="N66" s="77" t="inlineStr">
        <is>
          <t>2026-08-21</t>
        </is>
      </c>
      <c r="O66" s="77" t="n">
        <v>2</v>
      </c>
      <c r="P66" s="77" t="inlineStr">
        <is>
          <t>Times of Oman; MECSR intel skip log</t>
        </is>
      </c>
      <c r="Q66" s="79" t="inlineStr">
        <is>
          <t>timesofoman.com</t>
        </is>
      </c>
      <c r="R66" s="77" t="inlineStr">
        <is>
          <t>No directory action.</t>
        </is>
      </c>
      <c r="S66" s="80" t="inlineStr">
        <is>
          <t>Not Started</t>
        </is>
      </c>
      <c r="T66" s="80" t="inlineStr"/>
      <c r="U66" s="80" t="inlineStr"/>
    </row>
    <row r="67">
      <c r="A67" s="77" t="n">
        <v>63</v>
      </c>
      <c r="B67" s="77" t="inlineStr">
        <is>
          <t>Out of scope</t>
        </is>
      </c>
      <c r="C67" s="77" t="inlineStr">
        <is>
          <t>Nesto hypermarket, Al Gharrafa</t>
        </is>
      </c>
      <c r="D67" s="77" t="inlineStr">
        <is>
          <t>Doha</t>
        </is>
      </c>
      <c r="E67" s="77" t="inlineStr">
        <is>
          <t>Qatar</t>
        </is>
      </c>
      <c r="F67" s="77" t="inlineStr">
        <is>
          <t>Western International Group</t>
        </is>
      </c>
      <c r="G67" s="77" t="inlineStr">
        <is>
          <t>Opened Aug 2026</t>
        </is>
      </c>
      <c r="H67" s="77" t="inlineStr">
        <is>
          <t>Aug 2026</t>
        </is>
      </c>
      <c r="I67" s="77" t="inlineStr">
        <is>
          <t>—</t>
        </is>
      </c>
      <c r="J67" s="77" t="inlineStr">
        <is>
          <t>Nesto's first Qatar store and 152nd worldwide; 8 more planned.</t>
        </is>
      </c>
      <c r="K67" s="77" t="inlineStr">
        <is>
          <t>A single hypermarket, not a shopping centre.</t>
        </is>
      </c>
      <c r="L67" s="77" t="inlineStr">
        <is>
          <t>200–205</t>
        </is>
      </c>
      <c r="M67" s="77" t="inlineStr">
        <is>
          <t>2026-08-21</t>
        </is>
      </c>
      <c r="N67" s="77" t="inlineStr">
        <is>
          <t>2026-08-31</t>
        </is>
      </c>
      <c r="O67" s="77" t="n">
        <v>2</v>
      </c>
      <c r="P67" s="77" t="inlineStr">
        <is>
          <t>The Peninsula Qatar; Zawya; MECSR intel skip log</t>
        </is>
      </c>
      <c r="Q67" s="79" t="inlineStr">
        <is>
          <t>thepeninsulaqatar.com</t>
        </is>
      </c>
      <c r="R67" s="77" t="inlineStr">
        <is>
          <t>Use as market context only.</t>
        </is>
      </c>
      <c r="S67" s="80" t="inlineStr">
        <is>
          <t>Not Started</t>
        </is>
      </c>
      <c r="T67" s="80" t="inlineStr"/>
      <c r="U67" s="80" t="inlineStr"/>
    </row>
    <row r="69" ht="40" customHeight="1" s="72">
      <c r="B69" s="84" t="inlineStr">
        <is>
          <t>Sources: 41 MECSR daily and weekly intel reports, 16 Jun – 25 Sep 2026, and the intel skip log to 9 Oct 2026 (folder 'MECSR 2026 Issu Extract'). Directory check against the v12 sample book's A–Z index (1,342 entries) and the Brilliant Directories extract of 3 Sep 2026. Sizes are as reported — BUA, GFA and GLA are mixed in the coverage, so confirm GLA in sqm.</t>
        </is>
      </c>
    </row>
  </sheetData>
  <autoFilter ref="A4:U67"/>
  <mergeCells count="3">
    <mergeCell ref="B69:J69"/>
    <mergeCell ref="A1:F1"/>
    <mergeCell ref="A2:J2"/>
  </mergeCells>
  <dataValidations count="2">
    <dataValidation sqref="B5:B107" showDropDown="0" showInputMessage="0" showErrorMessage="0" allowBlank="1" type="list">
      <formula1>"Add now,Add to pipeline,Check first,Watch,Out of scope"</formula1>
    </dataValidation>
    <dataValidation sqref="S5:S107" showDropDown="0" showInputMessage="0" showErrorMessage="0" allowBlank="1" type="list">
      <formula1>"Not Started,Checking,Confirmed,Conflicting,Rejected"</formula1>
    </dataValidation>
  </dataValidations>
  <hyperlinks>
    <hyperlink xmlns:r="http://schemas.openxmlformats.org/officeDocument/2006/relationships" ref="Q5" r:id="rId1"/>
    <hyperlink xmlns:r="http://schemas.openxmlformats.org/officeDocument/2006/relationships" ref="Q6" r:id="rId2"/>
    <hyperlink xmlns:r="http://schemas.openxmlformats.org/officeDocument/2006/relationships" ref="Q7" r:id="rId3"/>
    <hyperlink xmlns:r="http://schemas.openxmlformats.org/officeDocument/2006/relationships" ref="Q8" r:id="rId4"/>
    <hyperlink xmlns:r="http://schemas.openxmlformats.org/officeDocument/2006/relationships" ref="Q9" r:id="rId5"/>
    <hyperlink xmlns:r="http://schemas.openxmlformats.org/officeDocument/2006/relationships" ref="Q10" r:id="rId6"/>
    <hyperlink xmlns:r="http://schemas.openxmlformats.org/officeDocument/2006/relationships" ref="Q11" r:id="rId7"/>
    <hyperlink xmlns:r="http://schemas.openxmlformats.org/officeDocument/2006/relationships" ref="Q12" r:id="rId8"/>
    <hyperlink xmlns:r="http://schemas.openxmlformats.org/officeDocument/2006/relationships" ref="Q13" r:id="rId9"/>
    <hyperlink xmlns:r="http://schemas.openxmlformats.org/officeDocument/2006/relationships" ref="Q15" r:id="rId10"/>
    <hyperlink xmlns:r="http://schemas.openxmlformats.org/officeDocument/2006/relationships" ref="Q16" r:id="rId11"/>
    <hyperlink xmlns:r="http://schemas.openxmlformats.org/officeDocument/2006/relationships" ref="Q17" r:id="rId12"/>
    <hyperlink xmlns:r="http://schemas.openxmlformats.org/officeDocument/2006/relationships" ref="Q18" r:id="rId13"/>
    <hyperlink xmlns:r="http://schemas.openxmlformats.org/officeDocument/2006/relationships" ref="Q19" r:id="rId14"/>
    <hyperlink xmlns:r="http://schemas.openxmlformats.org/officeDocument/2006/relationships" ref="Q20" r:id="rId15"/>
    <hyperlink xmlns:r="http://schemas.openxmlformats.org/officeDocument/2006/relationships" ref="Q21" r:id="rId16"/>
    <hyperlink xmlns:r="http://schemas.openxmlformats.org/officeDocument/2006/relationships" ref="Q22" r:id="rId17"/>
    <hyperlink xmlns:r="http://schemas.openxmlformats.org/officeDocument/2006/relationships" ref="Q23" r:id="rId18"/>
    <hyperlink xmlns:r="http://schemas.openxmlformats.org/officeDocument/2006/relationships" ref="Q24" r:id="rId19"/>
    <hyperlink xmlns:r="http://schemas.openxmlformats.org/officeDocument/2006/relationships" ref="Q25" r:id="rId20"/>
    <hyperlink xmlns:r="http://schemas.openxmlformats.org/officeDocument/2006/relationships" ref="Q26" r:id="rId21"/>
    <hyperlink xmlns:r="http://schemas.openxmlformats.org/officeDocument/2006/relationships" ref="Q27" r:id="rId22"/>
    <hyperlink xmlns:r="http://schemas.openxmlformats.org/officeDocument/2006/relationships" ref="Q28" r:id="rId23"/>
    <hyperlink xmlns:r="http://schemas.openxmlformats.org/officeDocument/2006/relationships" ref="Q30" r:id="rId24"/>
    <hyperlink xmlns:r="http://schemas.openxmlformats.org/officeDocument/2006/relationships" ref="Q31" r:id="rId25"/>
    <hyperlink xmlns:r="http://schemas.openxmlformats.org/officeDocument/2006/relationships" ref="Q32" r:id="rId26"/>
    <hyperlink xmlns:r="http://schemas.openxmlformats.org/officeDocument/2006/relationships" ref="Q33" r:id="rId27"/>
    <hyperlink xmlns:r="http://schemas.openxmlformats.org/officeDocument/2006/relationships" ref="Q34" r:id="rId28"/>
    <hyperlink xmlns:r="http://schemas.openxmlformats.org/officeDocument/2006/relationships" ref="Q35" r:id="rId29"/>
    <hyperlink xmlns:r="http://schemas.openxmlformats.org/officeDocument/2006/relationships" ref="Q36" r:id="rId30"/>
    <hyperlink xmlns:r="http://schemas.openxmlformats.org/officeDocument/2006/relationships" ref="Q38" r:id="rId31"/>
    <hyperlink xmlns:r="http://schemas.openxmlformats.org/officeDocument/2006/relationships" ref="Q39" r:id="rId32"/>
    <hyperlink xmlns:r="http://schemas.openxmlformats.org/officeDocument/2006/relationships" ref="Q40" r:id="rId33"/>
    <hyperlink xmlns:r="http://schemas.openxmlformats.org/officeDocument/2006/relationships" ref="Q41" r:id="rId34"/>
    <hyperlink xmlns:r="http://schemas.openxmlformats.org/officeDocument/2006/relationships" ref="Q42" r:id="rId35"/>
    <hyperlink xmlns:r="http://schemas.openxmlformats.org/officeDocument/2006/relationships" ref="Q43" r:id="rId36"/>
    <hyperlink xmlns:r="http://schemas.openxmlformats.org/officeDocument/2006/relationships" ref="Q44" r:id="rId37"/>
    <hyperlink xmlns:r="http://schemas.openxmlformats.org/officeDocument/2006/relationships" ref="Q45" r:id="rId38"/>
    <hyperlink xmlns:r="http://schemas.openxmlformats.org/officeDocument/2006/relationships" ref="Q46" r:id="rId39"/>
    <hyperlink xmlns:r="http://schemas.openxmlformats.org/officeDocument/2006/relationships" ref="Q47" r:id="rId40"/>
    <hyperlink xmlns:r="http://schemas.openxmlformats.org/officeDocument/2006/relationships" ref="Q48" r:id="rId41"/>
    <hyperlink xmlns:r="http://schemas.openxmlformats.org/officeDocument/2006/relationships" ref="Q49" r:id="rId42"/>
    <hyperlink xmlns:r="http://schemas.openxmlformats.org/officeDocument/2006/relationships" ref="Q50" r:id="rId43"/>
    <hyperlink xmlns:r="http://schemas.openxmlformats.org/officeDocument/2006/relationships" ref="Q51" r:id="rId44"/>
    <hyperlink xmlns:r="http://schemas.openxmlformats.org/officeDocument/2006/relationships" ref="Q52" r:id="rId45"/>
    <hyperlink xmlns:r="http://schemas.openxmlformats.org/officeDocument/2006/relationships" ref="Q53" r:id="rId46"/>
    <hyperlink xmlns:r="http://schemas.openxmlformats.org/officeDocument/2006/relationships" ref="Q54" r:id="rId47"/>
    <hyperlink xmlns:r="http://schemas.openxmlformats.org/officeDocument/2006/relationships" ref="Q56" r:id="rId48"/>
    <hyperlink xmlns:r="http://schemas.openxmlformats.org/officeDocument/2006/relationships" ref="Q57" r:id="rId49"/>
    <hyperlink xmlns:r="http://schemas.openxmlformats.org/officeDocument/2006/relationships" ref="Q58" r:id="rId50"/>
    <hyperlink xmlns:r="http://schemas.openxmlformats.org/officeDocument/2006/relationships" ref="Q59" r:id="rId51"/>
    <hyperlink xmlns:r="http://schemas.openxmlformats.org/officeDocument/2006/relationships" ref="Q60" r:id="rId52"/>
    <hyperlink xmlns:r="http://schemas.openxmlformats.org/officeDocument/2006/relationships" ref="Q61" r:id="rId53"/>
    <hyperlink xmlns:r="http://schemas.openxmlformats.org/officeDocument/2006/relationships" ref="Q62" r:id="rId54"/>
    <hyperlink xmlns:r="http://schemas.openxmlformats.org/officeDocument/2006/relationships" ref="Q63" r:id="rId55"/>
    <hyperlink xmlns:r="http://schemas.openxmlformats.org/officeDocument/2006/relationships" ref="Q64" r:id="rId56"/>
    <hyperlink xmlns:r="http://schemas.openxmlformats.org/officeDocument/2006/relationships" ref="Q65" r:id="rId57"/>
    <hyperlink xmlns:r="http://schemas.openxmlformats.org/officeDocument/2006/relationships" ref="Q66" r:id="rId58"/>
    <hyperlink xmlns:r="http://schemas.openxmlformats.org/officeDocument/2006/relationships" ref="Q67" r:id="rId59"/>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P51"/>
  <sheetViews>
    <sheetView zoomScale="90"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5" customWidth="1" style="72" min="1" max="1"/>
    <col width="10" customWidth="1" style="72" min="2" max="2"/>
    <col width="28" customWidth="1" style="72" min="3" max="3"/>
    <col width="13" customWidth="1" style="72" min="4" max="4"/>
    <col width="7" customWidth="1" style="72" min="5" max="5"/>
    <col width="18" customWidth="1" style="72" min="6" max="6"/>
    <col width="40" customWidth="1" style="72" min="7" max="7"/>
    <col width="50" customWidth="1" style="72" min="8" max="8"/>
    <col width="44" customWidth="1" style="72" min="9" max="9"/>
    <col width="11" customWidth="1" style="72" min="10" max="10"/>
    <col width="11" customWidth="1" style="72" min="11" max="11"/>
    <col width="28" customWidth="1" style="72" min="12" max="12"/>
    <col width="26" customWidth="1" style="72" min="13" max="13"/>
    <col width="13" customWidth="1" style="72" min="14" max="14"/>
    <col width="14" customWidth="1" style="72" min="15" max="15"/>
    <col width="30" customWidth="1" style="72" min="16" max="16"/>
  </cols>
  <sheetData>
    <row r="1" ht="17.65" customHeight="1" s="72">
      <c r="A1" s="73" t="inlineStr">
        <is>
          <t>11 · INTEL — UPDATES TO LISTED PROPERTIES</t>
        </is>
      </c>
    </row>
    <row r="2" ht="30" customHeight="1" s="72">
      <c r="A2" s="76" t="inlineStr">
        <is>
          <t>45 changes the intel reports for properties the directory already lists — 6 high priority (openings, delays, duplicates, size conflicts), 16 medium, 23 tenant and anchor notes. 'Directory says' is read from the v12 sample book.</t>
        </is>
      </c>
    </row>
    <row r="4" ht="32" customHeight="1" s="72">
      <c r="A4" s="6" t="inlineStr">
        <is>
          <t>SN</t>
        </is>
      </c>
      <c r="B4" s="6" t="inlineStr">
        <is>
          <t>PRIORITY</t>
        </is>
      </c>
      <c r="C4" s="6" t="inlineStr">
        <is>
          <t>PROPERTY (AS LISTED)</t>
        </is>
      </c>
      <c r="D4" s="6" t="inlineStr">
        <is>
          <t>COUNTRY</t>
        </is>
      </c>
      <c r="E4" s="6" t="inlineStr">
        <is>
          <t>PAGE</t>
        </is>
      </c>
      <c r="F4" s="6" t="inlineStr">
        <is>
          <t>FIELD</t>
        </is>
      </c>
      <c r="G4" s="6" t="inlineStr">
        <is>
          <t>DIRECTORY SAYS (v13 BOOK)</t>
        </is>
      </c>
      <c r="H4" s="6" t="inlineStr">
        <is>
          <t>INTEL SAYS</t>
        </is>
      </c>
      <c r="I4" s="6" t="inlineStr">
        <is>
          <t>CHANGE TO MAKE</t>
        </is>
      </c>
      <c r="J4" s="6" t="inlineStr">
        <is>
          <t>FIRST SEEN</t>
        </is>
      </c>
      <c r="K4" s="6" t="inlineStr">
        <is>
          <t>LAST SEEN</t>
        </is>
      </c>
      <c r="L4" s="6" t="inlineStr">
        <is>
          <t>SOURCES</t>
        </is>
      </c>
      <c r="M4" s="6" t="inlineStr">
        <is>
          <t>LINK</t>
        </is>
      </c>
      <c r="N4" s="7" t="inlineStr">
        <is>
          <t>STATUS</t>
        </is>
      </c>
      <c r="O4" s="7" t="inlineStr">
        <is>
          <t>ASSIGNED TO</t>
        </is>
      </c>
      <c r="P4" s="7" t="inlineStr">
        <is>
          <t>NOTES</t>
        </is>
      </c>
    </row>
    <row r="5">
      <c r="A5" s="77" t="n">
        <v>1</v>
      </c>
      <c r="B5" s="85" t="inlineStr">
        <is>
          <t>High</t>
        </is>
      </c>
      <c r="C5" s="77" t="inlineStr">
        <is>
          <t>Aventura Mall</t>
        </is>
      </c>
      <c r="D5" s="77" t="inlineStr">
        <is>
          <t>Kuwait</t>
        </is>
      </c>
      <c r="E5" s="77" t="n">
        <v>160</v>
      </c>
      <c r="F5" s="77" t="inlineStr">
        <is>
          <t>Opening</t>
        </is>
      </c>
      <c r="G5" s="77" t="inlineStr">
        <is>
          <t>Al Asimah · GLA 108,200 sqm · Opened 2026 Q3</t>
        </is>
      </c>
      <c r="H5" s="77" t="inlineStr">
        <is>
          <t>Opening moved from Aug to Oct 2026 by fit-out supply-chain delays; 96% complete; 377 units; Alshaya signed 20+ stores incl. H&amp;M, Primark and Ulta Beauty.</t>
        </is>
      </c>
      <c r="I5" s="77" t="inlineStr">
        <is>
          <t>Change 'Opened 2026 Q3' to 'Opening Oct 2026'; confirm before the data freeze.</t>
        </is>
      </c>
      <c r="J5" s="77" t="inlineStr">
        <is>
          <t>2026-06-16</t>
        </is>
      </c>
      <c r="K5" s="77" t="inlineStr">
        <is>
          <t>2026-09-07</t>
        </is>
      </c>
      <c r="L5" s="77" t="inlineStr">
        <is>
          <t>Zawya / Alshaya; Zawya / Kuwait Gov; Zawya; Kuwait Times</t>
        </is>
      </c>
      <c r="M5" s="79" t="inlineStr">
        <is>
          <t>agbi.com</t>
        </is>
      </c>
      <c r="N5" s="80" t="inlineStr">
        <is>
          <t>Not Started</t>
        </is>
      </c>
      <c r="O5" s="80" t="inlineStr"/>
      <c r="P5" s="80" t="inlineStr"/>
    </row>
    <row r="6">
      <c r="A6" s="77" t="n">
        <v>2</v>
      </c>
      <c r="B6" s="85" t="inlineStr">
        <is>
          <t>High</t>
        </is>
      </c>
      <c r="C6" s="77" t="inlineStr">
        <is>
          <t>Zumurrud Investment Mall</t>
        </is>
      </c>
      <c r="D6" s="77" t="inlineStr">
        <is>
          <t>Libya</t>
        </is>
      </c>
      <c r="E6" s="77" t="n">
        <v>173</v>
      </c>
      <c r="F6" s="77" t="inlineStr">
        <is>
          <t>Status · size</t>
        </is>
      </c>
      <c r="G6" s="77" t="inlineStr">
        <is>
          <t>Tripoli · Size 135,000 sqm (GLA unverified) · Opened 2026 Q3 · Multi-Category</t>
        </is>
      </c>
      <c r="H6" s="77" t="inlineStr">
        <is>
          <t>Stalled since 2011 and being revived (damage study Feb 2026, Turkish JV talks); size quoted as 135,000–280,000 sqm; Aug 2026 completion target, not reported open.</t>
        </is>
      </c>
      <c r="I6" s="77" t="inlineStr">
        <is>
          <t>Change 'Opened 2026 Q3' to 'Under redevelopment'; make sure the size is not First Mall's.</t>
        </is>
      </c>
      <c r="J6" s="77" t="inlineStr">
        <is>
          <t>2026-07-03</t>
        </is>
      </c>
      <c r="K6" s="77" t="inlineStr">
        <is>
          <t>2026-07-06</t>
        </is>
      </c>
      <c r="L6" s="77" t="inlineStr">
        <is>
          <t>Libya Herald</t>
        </is>
      </c>
      <c r="M6" s="79" t="inlineStr">
        <is>
          <t>libyaherald.com</t>
        </is>
      </c>
      <c r="N6" s="80" t="inlineStr">
        <is>
          <t>Not Started</t>
        </is>
      </c>
      <c r="O6" s="80" t="inlineStr"/>
      <c r="P6" s="80" t="inlineStr"/>
    </row>
    <row r="7">
      <c r="A7" s="77" t="n">
        <v>3</v>
      </c>
      <c r="B7" s="85" t="inlineStr">
        <is>
          <t>High</t>
        </is>
      </c>
      <c r="C7" s="77" t="inlineStr">
        <is>
          <t>Qatar Outlet Village</t>
        </is>
      </c>
      <c r="D7" s="77" t="inlineStr">
        <is>
          <t>Qatar</t>
        </is>
      </c>
      <c r="E7" s="77" t="n">
        <v>203</v>
      </c>
      <c r="F7" s="77" t="inlineStr">
        <is>
          <t>Duplicate · size</t>
        </is>
      </c>
      <c r="G7" s="77" t="inlineStr">
        <is>
          <t>Lusail · GLA 13,000 sqm · Opened 2024 · Mixed-Use · HBJ-FMS</t>
        </is>
      </c>
      <c r="H7" s="77" t="inlineStr">
        <is>
          <t>~150,000 sqm, 100+ luxury boutiques, billed as the 'world's first outdoor air-conditioned mall' (single source, flagged for caution).</t>
        </is>
      </c>
      <c r="I7" s="77" t="inlineStr">
        <is>
          <t>The book prints this centre twice on p203 — merge the cards; verify GLA (13,000 vs ~150,000 sqm).</t>
        </is>
      </c>
      <c r="J7" s="77" t="inlineStr">
        <is>
          <t>2026-07-14</t>
        </is>
      </c>
      <c r="K7" s="77" t="inlineStr">
        <is>
          <t>2026-08-03</t>
        </is>
      </c>
      <c r="L7" s="77" t="inlineStr">
        <is>
          <t>Zawya / WAM (Emirates News Agency); Marhaba Qatar</t>
        </is>
      </c>
      <c r="M7" s="79" t="inlineStr">
        <is>
          <t>marhaba.qa</t>
        </is>
      </c>
      <c r="N7" s="80" t="inlineStr">
        <is>
          <t>Not Started</t>
        </is>
      </c>
      <c r="O7" s="80" t="inlineStr"/>
      <c r="P7" s="80" t="inlineStr"/>
    </row>
    <row r="8">
      <c r="A8" s="77" t="n">
        <v>4</v>
      </c>
      <c r="B8" s="85" t="inlineStr">
        <is>
          <t>High</t>
        </is>
      </c>
      <c r="C8" s="77" t="inlineStr">
        <is>
          <t>The Avenues - Riyadh</t>
        </is>
      </c>
      <c r="D8" s="77" t="inlineStr">
        <is>
          <t>Saudi Arabia</t>
        </is>
      </c>
      <c r="E8" s="77" t="n">
        <v>237</v>
      </c>
      <c r="F8" s="77" t="inlineStr">
        <is>
          <t>Size · opening</t>
        </is>
      </c>
      <c r="G8" s="77" t="inlineStr">
        <is>
          <t>Riyadh · Size 1,800,000 sqm (GLA unverified) · Opened 2027</t>
        </is>
      </c>
      <c r="H8" s="77" t="inlineStr">
        <is>
          <t>~370,000 sqm GLA in a $6bn mixed-use scheme; 65% complete with SAR 11.4bn financing; mall opening targeted late 2026 / Q4 2026.</t>
        </is>
      </c>
      <c r="I8" s="77" t="inlineStr">
        <is>
          <t>Replace the 1.8m sqm site figure with GLA once Mabanee confirms; check 2026 vs 2027.</t>
        </is>
      </c>
      <c r="J8" s="77" t="inlineStr">
        <is>
          <t>2026-06-26</t>
        </is>
      </c>
      <c r="K8" s="77" t="inlineStr">
        <is>
          <t>2026-08-03</t>
        </is>
      </c>
      <c r="L8" s="77" t="inlineStr">
        <is>
          <t>Zawya; Kuwait Times; RLI / market trackers; Argaam</t>
        </is>
      </c>
      <c r="M8" s="79" t="inlineStr">
        <is>
          <t>rli.uk.com</t>
        </is>
      </c>
      <c r="N8" s="80" t="inlineStr">
        <is>
          <t>Not Started</t>
        </is>
      </c>
      <c r="O8" s="80" t="inlineStr"/>
      <c r="P8" s="80" t="inlineStr"/>
    </row>
    <row r="9">
      <c r="A9" s="77" t="n">
        <v>5</v>
      </c>
      <c r="B9" s="85" t="inlineStr">
        <is>
          <t>High</t>
        </is>
      </c>
      <c r="C9" s="77" t="inlineStr">
        <is>
          <t>Westfield Jeddah</t>
        </is>
      </c>
      <c r="D9" s="77" t="inlineStr">
        <is>
          <t>Saudi Arabia</t>
        </is>
      </c>
      <c r="E9" s="77" t="n">
        <v>208</v>
      </c>
      <c r="F9" s="77" t="inlineStr">
        <is>
          <t>Status · opening</t>
        </is>
      </c>
      <c r="G9" s="77" t="inlineStr">
        <is>
          <t>Jeddah · GLA 104,000 sqm · Opened 2026 · Multi-Category · Cenomi Centers</t>
        </is>
      </c>
      <c r="H9" s="77" t="inlineStr">
        <is>
          <t>Operational since 30 Jul 2026 (Tadawul disclosure, 4 Aug): occupancy certificate issued, ~96% pre-let, 20,000 sqm luxury precinct. Formerly Jawharat Jeddah.</t>
        </is>
      </c>
      <c r="I9" s="77" t="inlineStr">
        <is>
          <t>Show it as opened Jul 2026; add the store count when Cenomi gives it.</t>
        </is>
      </c>
      <c r="J9" s="77" t="inlineStr">
        <is>
          <t>2026-06-16</t>
        </is>
      </c>
      <c r="K9" s="77" t="inlineStr">
        <is>
          <t>2026-09-18</t>
        </is>
      </c>
      <c r="L9" s="77" t="inlineStr">
        <is>
          <t>Zawya / Cenomi; Arab News; Zawya; The Saudi Times</t>
        </is>
      </c>
      <c r="M9" s="79" t="inlineStr">
        <is>
          <t>agbi.com</t>
        </is>
      </c>
      <c r="N9" s="80" t="inlineStr">
        <is>
          <t>Not Started</t>
        </is>
      </c>
      <c r="O9" s="80" t="inlineStr"/>
      <c r="P9" s="80" t="inlineStr"/>
    </row>
    <row r="10">
      <c r="A10" s="77" t="n">
        <v>6</v>
      </c>
      <c r="B10" s="85" t="inlineStr">
        <is>
          <t>High</t>
        </is>
      </c>
      <c r="C10" s="77" t="inlineStr">
        <is>
          <t>Westfield Riyadh</t>
        </is>
      </c>
      <c r="D10" s="77" t="inlineStr">
        <is>
          <t>Saudi Arabia</t>
        </is>
      </c>
      <c r="E10" s="77" t="n">
        <v>207</v>
      </c>
      <c r="F10" s="77" t="inlineStr">
        <is>
          <t>Opening</t>
        </is>
      </c>
      <c r="G10" s="77" t="inlineStr">
        <is>
          <t>Riyadh · GLA 220,000 sqm · Opened 2026 · Multi-Category · Cenomi Centers</t>
        </is>
      </c>
      <c r="H10" s="77" t="inlineStr">
        <is>
          <t>Not yet open. Opening guidance moved to Q4 2026 with the SAR 2.7bn Murabaha (16 Jul); MBC studios will go live at opening.</t>
        </is>
      </c>
      <c r="I10" s="77" t="inlineStr">
        <is>
          <t>Change 'Opened 2026' to 'Opening Q4 2026' unless it opens before the data freeze.</t>
        </is>
      </c>
      <c r="J10" s="77" t="inlineStr">
        <is>
          <t>2026-06-16</t>
        </is>
      </c>
      <c r="K10" s="77" t="inlineStr">
        <is>
          <t>2026-10-09</t>
        </is>
      </c>
      <c r="L10" s="77" t="inlineStr">
        <is>
          <t>Zawya / Cenomi; Retail Management Middle East; Eye of Riyadh; Zawya</t>
        </is>
      </c>
      <c r="M10" s="79" t="inlineStr">
        <is>
          <t>sahmcapital.com</t>
        </is>
      </c>
      <c r="N10" s="80" t="inlineStr">
        <is>
          <t>Not Started</t>
        </is>
      </c>
      <c r="O10" s="80" t="inlineStr"/>
      <c r="P10" s="80" t="inlineStr"/>
    </row>
    <row r="11">
      <c r="A11" s="77" t="n">
        <v>7</v>
      </c>
      <c r="B11" s="82" t="inlineStr">
        <is>
          <t>Medium</t>
        </is>
      </c>
      <c r="C11" s="77" t="inlineStr">
        <is>
          <t>Seef Mall - Seef District</t>
        </is>
      </c>
      <c r="D11" s="77" t="inlineStr">
        <is>
          <t>Bahrain</t>
        </is>
      </c>
      <c r="E11" s="77" t="n">
        <v>98</v>
      </c>
      <c r="F11" s="77" t="inlineStr">
        <is>
          <t>Status</t>
        </is>
      </c>
      <c r="G11" s="77" t="inlineStr">
        <is>
          <t>Manama · GLA 78,000 sqm · Opened 1997</t>
        </is>
      </c>
      <c r="H11" s="77" t="inlineStr">
        <is>
          <t>Under redevelopment: main works to Mohammed Jalal Contracting (Jun 2026); car park, façades and gates to Cinqo Contracting (Jul 2026).</t>
        </is>
      </c>
      <c r="I11" s="77" t="inlineStr">
        <is>
          <t>Set status to 'Under redevelopment'.</t>
        </is>
      </c>
      <c r="J11" s="77" t="inlineStr">
        <is>
          <t>2026-06-22</t>
        </is>
      </c>
      <c r="K11" s="77" t="inlineStr">
        <is>
          <t>2026-09-21</t>
        </is>
      </c>
      <c r="L11" s="77" t="inlineStr">
        <is>
          <t>Zawya; News of Bahrain; Seef Properties IR; Gulf Daily News</t>
        </is>
      </c>
      <c r="M11" s="79" t="inlineStr">
        <is>
          <t>zawya.com</t>
        </is>
      </c>
      <c r="N11" s="80" t="inlineStr">
        <is>
          <t>Not Started</t>
        </is>
      </c>
      <c r="O11" s="80" t="inlineStr"/>
      <c r="P11" s="80" t="inlineStr"/>
    </row>
    <row r="12">
      <c r="A12" s="77" t="n">
        <v>8</v>
      </c>
      <c r="B12" s="82" t="inlineStr">
        <is>
          <t>Medium</t>
        </is>
      </c>
      <c r="C12" s="77" t="inlineStr">
        <is>
          <t>Iraq Mall</t>
        </is>
      </c>
      <c r="D12" s="77" t="inlineStr">
        <is>
          <t>Iraq</t>
        </is>
      </c>
      <c r="E12" s="77" t="n">
        <v>137</v>
      </c>
      <c r="F12" s="77" t="inlineStr">
        <is>
          <t>Size · anchors</t>
        </is>
      </c>
      <c r="G12" s="77" t="inlineStr">
        <is>
          <t>Baghdad · GLA 150,000 sqm · Opened 2026</t>
        </is>
      </c>
      <c r="H12" s="77" t="inlineStr">
        <is>
          <t>550,000+ sqm, 1,000+ outlets and a 23-storey hotel (likely built area); Iraq's first IMAX with Laser opened 9 Aug 2026; SOUEAST opened its first Iraqi mall showroom.</t>
        </is>
      </c>
      <c r="I12" s="77" t="inlineStr">
        <is>
          <t>Keep GLA; add IMAX / Iraqi Cinema as the entertainment anchor.</t>
        </is>
      </c>
      <c r="J12" s="77" t="inlineStr">
        <is>
          <t>2026-07-03</t>
        </is>
      </c>
      <c r="K12" s="77" t="inlineStr">
        <is>
          <t>2026-09-21</t>
        </is>
      </c>
      <c r="L12" s="77" t="inlineStr">
        <is>
          <t>Iraqi News; Mubadala; MAF; SOUEAST official site</t>
        </is>
      </c>
      <c r="M12" s="79" t="inlineStr">
        <is>
          <t>iraqinews.com</t>
        </is>
      </c>
      <c r="N12" s="80" t="inlineStr">
        <is>
          <t>Not Started</t>
        </is>
      </c>
      <c r="O12" s="80" t="inlineStr"/>
      <c r="P12" s="80" t="inlineStr"/>
    </row>
    <row r="13">
      <c r="A13" s="77" t="n">
        <v>9</v>
      </c>
      <c r="B13" s="82" t="inlineStr">
        <is>
          <t>Medium</t>
        </is>
      </c>
      <c r="C13" s="77" t="inlineStr">
        <is>
          <t>360 Mall</t>
        </is>
      </c>
      <c r="D13" s="77" t="inlineStr">
        <is>
          <t>Kuwait</t>
        </is>
      </c>
      <c r="E13" s="77" t="n">
        <v>160</v>
      </c>
      <c r="F13" s="77" t="inlineStr">
        <is>
          <t>New phase?</t>
        </is>
      </c>
      <c r="G13" s="77" t="inlineStr">
        <is>
          <t>Hawalli · GLA 130,000 sqm · Opened 2009</t>
        </is>
      </c>
      <c r="H13" s="77" t="inlineStr">
        <is>
          <t>Tamdeen (5 Jul 2026): an 82,000 sqm '360 MALL' opened with 130+ brands planned.</t>
        </is>
      </c>
      <c r="I13" s="77" t="inlineStr">
        <is>
          <t>Ask Tamdeen whether this is an extension or a second centre; the directory has only the 2009 mall.</t>
        </is>
      </c>
      <c r="J13" s="77" t="inlineStr">
        <is>
          <t>2026-07-20</t>
        </is>
      </c>
      <c r="K13" s="77" t="inlineStr">
        <is>
          <t>2026-07-20</t>
        </is>
      </c>
      <c r="L13" s="77" t="inlineStr">
        <is>
          <t>Tamdeen Group newsroom (official); Tamdeen.com (official)</t>
        </is>
      </c>
      <c r="M13" s="79" t="inlineStr">
        <is>
          <t>tamdeen.com</t>
        </is>
      </c>
      <c r="N13" s="80" t="inlineStr">
        <is>
          <t>Not Started</t>
        </is>
      </c>
      <c r="O13" s="80" t="inlineStr"/>
      <c r="P13" s="80" t="inlineStr"/>
    </row>
    <row r="14">
      <c r="A14" s="77" t="n">
        <v>10</v>
      </c>
      <c r="B14" s="82" t="inlineStr">
        <is>
          <t>Medium</t>
        </is>
      </c>
      <c r="C14" s="77" t="inlineStr">
        <is>
          <t>Souk Sabah</t>
        </is>
      </c>
      <c r="D14" s="77" t="inlineStr">
        <is>
          <t>Kuwait</t>
        </is>
      </c>
      <c r="E14" s="77" t="n">
        <v>161</v>
      </c>
      <c r="F14" s="77" t="inlineStr">
        <is>
          <t>Developer · scope</t>
        </is>
      </c>
      <c r="G14" s="77" t="inlineStr">
        <is>
          <t>Ahmadi · GLA 23,200 sqm · Opened 2027</t>
        </is>
      </c>
      <c r="H14" s="77" t="inlineStr">
        <is>
          <t>Mabanee's S3 PPP with PAHW in Sabah Al-Ahmad City: souk, regional mall and a 110-key Hampton by Hilton; 37% complete; opening H2 2027.</t>
        </is>
      </c>
      <c r="I14" s="77" t="inlineStr">
        <is>
          <t>Confirm this card is the Mabanee project; add developer and the hotel.</t>
        </is>
      </c>
      <c r="J14" s="77" t="inlineStr">
        <is>
          <t>2026-06-22</t>
        </is>
      </c>
      <c r="K14" s="77" t="inlineStr">
        <is>
          <t>2026-08-03</t>
        </is>
      </c>
      <c r="L14" s="77" t="inlineStr">
        <is>
          <t>Zawya</t>
        </is>
      </c>
      <c r="M14" s="79" t="inlineStr">
        <is>
          <t>zawya.com</t>
        </is>
      </c>
      <c r="N14" s="80" t="inlineStr">
        <is>
          <t>Not Started</t>
        </is>
      </c>
      <c r="O14" s="80" t="inlineStr"/>
      <c r="P14" s="80" t="inlineStr"/>
    </row>
    <row r="15">
      <c r="A15" s="77" t="n">
        <v>11</v>
      </c>
      <c r="B15" s="82" t="inlineStr">
        <is>
          <t>Medium</t>
        </is>
      </c>
      <c r="C15" s="77" t="inlineStr">
        <is>
          <t>OJAJA Mall Ajah</t>
        </is>
      </c>
      <c r="D15" s="77" t="inlineStr">
        <is>
          <t>Nigeria</t>
        </is>
      </c>
      <c r="E15" s="77" t="n">
        <v>182</v>
      </c>
      <c r="F15" s="77" t="inlineStr">
        <is>
          <t>Size</t>
        </is>
      </c>
      <c r="G15" s="77" t="inlineStr">
        <is>
          <t>Lagos · GLA Not Public · Opened — · Multi-Category</t>
        </is>
      </c>
      <c r="H15" s="77" t="inlineStr">
        <is>
          <t>~18,000 sqm; shops, hotel, leisure and a tech hub on the Ogombo–Ajah axis; recently opened.</t>
        </is>
      </c>
      <c r="I15" s="77" t="inlineStr">
        <is>
          <t>Card shows 'GLA Not Public' — confirm the figure.</t>
        </is>
      </c>
      <c r="J15" s="77" t="inlineStr">
        <is>
          <t>2026-06-22</t>
        </is>
      </c>
      <c r="K15" s="77" t="inlineStr">
        <is>
          <t>2026-06-22</t>
        </is>
      </c>
      <c r="L15" s="77" t="inlineStr">
        <is>
          <t>BusinessDay Nigeria</t>
        </is>
      </c>
      <c r="M15" s="79" t="inlineStr">
        <is>
          <t>businessday.ng</t>
        </is>
      </c>
      <c r="N15" s="80" t="inlineStr">
        <is>
          <t>Not Started</t>
        </is>
      </c>
      <c r="O15" s="80" t="inlineStr"/>
      <c r="P15" s="80" t="inlineStr"/>
    </row>
    <row r="16">
      <c r="A16" s="77" t="n">
        <v>12</v>
      </c>
      <c r="B16" s="82" t="inlineStr">
        <is>
          <t>Medium</t>
        </is>
      </c>
      <c r="C16" s="77" t="inlineStr">
        <is>
          <t>Purple Lekki Mall</t>
        </is>
      </c>
      <c r="D16" s="77" t="inlineStr">
        <is>
          <t>Nigeria</t>
        </is>
      </c>
      <c r="E16" s="77" t="n">
        <v>182</v>
      </c>
      <c r="F16" s="77" t="inlineStr">
        <is>
          <t>Size</t>
        </is>
      </c>
      <c r="G16" s="77" t="inlineStr">
        <is>
          <t>Lagos · GLA Not Public · Opened — · Multi-Category</t>
        </is>
      </c>
      <c r="H16" s="77" t="inlineStr">
        <is>
          <t>~20,000 sqm retail in the Purple Lekki mixed-use scheme on Freedom Way; trading.</t>
        </is>
      </c>
      <c r="I16" s="77" t="inlineStr">
        <is>
          <t>Card shows 'GLA Not Public' — confirm. Not on Brilliant yet.</t>
        </is>
      </c>
      <c r="J16" s="77" t="inlineStr">
        <is>
          <t>2026-08-26</t>
        </is>
      </c>
      <c r="K16" s="77" t="inlineStr">
        <is>
          <t>2026-08-26</t>
        </is>
      </c>
      <c r="L16" s="77" t="inlineStr">
        <is>
          <t>Vanguard Allure; BusinessDay Nigeria</t>
        </is>
      </c>
      <c r="M16" s="79" t="inlineStr">
        <is>
          <t>allure.vanguardngr.com</t>
        </is>
      </c>
      <c r="N16" s="80" t="inlineStr">
        <is>
          <t>Not Started</t>
        </is>
      </c>
      <c r="O16" s="80" t="inlineStr"/>
      <c r="P16" s="80" t="inlineStr"/>
    </row>
    <row r="17">
      <c r="A17" s="77" t="n">
        <v>13</v>
      </c>
      <c r="B17" s="82" t="inlineStr">
        <is>
          <t>Medium</t>
        </is>
      </c>
      <c r="C17" s="77" t="inlineStr">
        <is>
          <t>Doha Festival City</t>
        </is>
      </c>
      <c r="D17" s="77" t="inlineStr">
        <is>
          <t>Qatar</t>
        </is>
      </c>
      <c r="E17" s="77" t="n">
        <v>205</v>
      </c>
      <c r="F17" s="77" t="inlineStr">
        <is>
          <t>Redevelopment · tenants</t>
        </is>
      </c>
      <c r="G17" s="77" t="inlineStr">
        <is>
          <t>Doha · GLA 240,000 sqm · Opened 2017</t>
        </is>
      </c>
      <c r="H17" s="77" t="inlineStr">
        <is>
          <t>QR400m mall-wide transformation (2 Aug 2026) with Primark (Qatar's first, opening 29 Oct 2026), Ulta Beauty and an expanded Zara.</t>
        </is>
      </c>
      <c r="I17" s="77" t="inlineStr">
        <is>
          <t>Note the programme; add tenants as they open.</t>
        </is>
      </c>
      <c r="J17" s="77" t="inlineStr">
        <is>
          <t>2026-07-09</t>
        </is>
      </c>
      <c r="K17" s="77" t="inlineStr">
        <is>
          <t>2026-09-22</t>
        </is>
      </c>
      <c r="L17" s="77" t="inlineStr">
        <is>
          <t>Gulf Business; The Peninsula Qatar; Zawya; Harper's Bazaar Arabia</t>
        </is>
      </c>
      <c r="M17" s="79" t="inlineStr">
        <is>
          <t>thepeninsulaqatar.com</t>
        </is>
      </c>
      <c r="N17" s="80" t="inlineStr">
        <is>
          <t>Not Started</t>
        </is>
      </c>
      <c r="O17" s="80" t="inlineStr"/>
      <c r="P17" s="80" t="inlineStr"/>
    </row>
    <row r="18">
      <c r="A18" s="77" t="n">
        <v>14</v>
      </c>
      <c r="B18" s="82" t="inlineStr">
        <is>
          <t>Medium</t>
        </is>
      </c>
      <c r="C18" s="77" t="inlineStr">
        <is>
          <t>Multaqa AlMadinah</t>
        </is>
      </c>
      <c r="D18" s="77" t="inlineStr">
        <is>
          <t>Saudi Arabia</t>
        </is>
      </c>
      <c r="E18" s="77" t="n">
        <v>233</v>
      </c>
      <c r="F18" s="77" t="inlineStr">
        <is>
          <t>Opening · tenants</t>
        </is>
      </c>
      <c r="G18" s="77" t="inlineStr">
        <is>
          <t>Madinah · GLA 70,000 sqm · Opened 2026</t>
        </is>
      </c>
      <c r="H18" s="77" t="inlineStr">
        <is>
          <t>Apparel Group signed as premier retail partner (24 brands, 8,686 m²); opening date still being tracked.</t>
        </is>
      </c>
      <c r="I18" s="77" t="inlineStr">
        <is>
          <t>The card says 'Opened 2026' — confirm it has opened.</t>
        </is>
      </c>
      <c r="J18" s="77" t="inlineStr">
        <is>
          <t>2026-07-03</t>
        </is>
      </c>
      <c r="K18" s="77" t="inlineStr">
        <is>
          <t>2026-09-18</t>
        </is>
      </c>
      <c r="L18" s="77" t="inlineStr">
        <is>
          <t>Zawya / TradeArabia; Zawya (via TradingView); Zawya; Construction Week Online</t>
        </is>
      </c>
      <c r="M18" s="79" t="inlineStr">
        <is>
          <t>tradearabia.com</t>
        </is>
      </c>
      <c r="N18" s="80" t="inlineStr">
        <is>
          <t>Not Started</t>
        </is>
      </c>
      <c r="O18" s="80" t="inlineStr"/>
      <c r="P18" s="80" t="inlineStr"/>
    </row>
    <row r="19">
      <c r="A19" s="77" t="n">
        <v>15</v>
      </c>
      <c r="B19" s="82" t="inlineStr">
        <is>
          <t>Medium</t>
        </is>
      </c>
      <c r="C19" s="77" t="inlineStr">
        <is>
          <t>The Avenues - Khobar</t>
        </is>
      </c>
      <c r="D19" s="77" t="inlineStr">
        <is>
          <t>Saudi Arabia</t>
        </is>
      </c>
      <c r="E19" s="77" t="n">
        <v>232</v>
      </c>
      <c r="F19" s="77" t="inlineStr">
        <is>
          <t>Size · opening</t>
        </is>
      </c>
      <c r="G19" s="77" t="inlineStr">
        <is>
          <t>Khobar · GLA 175,000 sqm · Opened 2027</t>
        </is>
      </c>
      <c r="H19" s="77" t="inlineStr">
        <is>
          <t>SAR 7.3bn, 167,000 sqm mixed-use; 5.25% complete vs 4.92% planned; reported as targeting Q1 2027.</t>
        </is>
      </c>
      <c r="I19" s="77" t="inlineStr">
        <is>
          <t>Check GLA (167,000 vs 175,000 sqm). A Q1 2027 opening looks inconsistent with 5% completion.</t>
        </is>
      </c>
      <c r="J19" s="77" t="inlineStr">
        <is>
          <t>2026-08-17</t>
        </is>
      </c>
      <c r="K19" s="77" t="inlineStr">
        <is>
          <t>2026-08-17</t>
        </is>
      </c>
      <c r="L19" s="77" t="inlineStr">
        <is>
          <t>Gulf Construction Online (Bina Goveas); Gulf Construction Online</t>
        </is>
      </c>
      <c r="M19" s="79" t="inlineStr">
        <is>
          <t>gulfconstructiononline.com</t>
        </is>
      </c>
      <c r="N19" s="80" t="inlineStr">
        <is>
          <t>Not Started</t>
        </is>
      </c>
      <c r="O19" s="80" t="inlineStr"/>
      <c r="P19" s="80" t="inlineStr"/>
    </row>
    <row r="20">
      <c r="A20" s="77" t="n">
        <v>16</v>
      </c>
      <c r="B20" s="82" t="inlineStr">
        <is>
          <t>Medium</t>
        </is>
      </c>
      <c r="C20" s="77" t="inlineStr">
        <is>
          <t>Westfield Dammam</t>
        </is>
      </c>
      <c r="D20" s="77" t="inlineStr">
        <is>
          <t>Saudi Arabia</t>
        </is>
      </c>
      <c r="E20" s="77" t="n">
        <v>211</v>
      </c>
      <c r="F20" s="77" t="inlineStr">
        <is>
          <t>Former name</t>
        </is>
      </c>
      <c r="G20" s="77" t="inlineStr">
        <is>
          <t>Dammam · GLA 64,000 sqm · Opened 2019 · Multi-Category · Cenomi Centers</t>
        </is>
      </c>
      <c r="H20" s="77" t="inlineStr">
        <is>
          <t>Rebrand of Nakheel Dammam Mall — Cenomi's first Westfield in the Kingdom.</t>
        </is>
      </c>
      <c r="I20" s="77" t="inlineStr">
        <is>
          <t>Add 'formerly Nakheel Mall Dammam' so readers can find it.</t>
        </is>
      </c>
      <c r="J20" s="77" t="inlineStr">
        <is>
          <t>2026-06-22</t>
        </is>
      </c>
      <c r="K20" s="77" t="inlineStr">
        <is>
          <t>2026-06-26</t>
        </is>
      </c>
      <c r="L20" s="77" t="inlineStr">
        <is>
          <t>Saudi Gazette; Zawya; Eye of Riyadh</t>
        </is>
      </c>
      <c r="M20" s="79" t="inlineStr">
        <is>
          <t>saudigazette.com.sa</t>
        </is>
      </c>
      <c r="N20" s="80" t="inlineStr">
        <is>
          <t>Not Started</t>
        </is>
      </c>
      <c r="O20" s="80" t="inlineStr"/>
      <c r="P20" s="80" t="inlineStr"/>
    </row>
    <row r="21">
      <c r="A21" s="77" t="n">
        <v>17</v>
      </c>
      <c r="B21" s="82" t="inlineStr">
        <is>
          <t>Medium</t>
        </is>
      </c>
      <c r="C21" s="77" t="inlineStr">
        <is>
          <t>Al Khail Avenue</t>
        </is>
      </c>
      <c r="D21" s="77" t="inlineStr">
        <is>
          <t>UAE</t>
        </is>
      </c>
      <c r="E21" s="77" t="n">
        <v>263</v>
      </c>
      <c r="F21" s="77" t="inlineStr">
        <is>
          <t>Size</t>
        </is>
      </c>
      <c r="G21" s="77" t="inlineStr">
        <is>
          <t>Dubai · GLA 139,500 sqm · Opened — · Multi-Category · Dubai Retail</t>
        </is>
      </c>
      <c r="H21" s="77" t="inlineStr">
        <is>
          <t>Pipeline asset of 1.2m sq ft GLA (Dubai Retail); still not open at an 8 Sep 2026 check.</t>
        </is>
      </c>
      <c r="I21" s="77" t="inlineStr">
        <is>
          <t>Check the GLA and opening year on the card.</t>
        </is>
      </c>
      <c r="J21" s="77" t="inlineStr">
        <is>
          <t>2026-07-14</t>
        </is>
      </c>
      <c r="K21" s="77" t="inlineStr">
        <is>
          <t>2026-10-09</t>
        </is>
      </c>
      <c r="L21" s="77" t="inlineStr">
        <is>
          <t>Zawya / WAM (Emirates News Agency); MECSR intel skip log</t>
        </is>
      </c>
      <c r="M21" s="79" t="inlineStr">
        <is>
          <t>zawya.com</t>
        </is>
      </c>
      <c r="N21" s="80" t="inlineStr">
        <is>
          <t>Not Started</t>
        </is>
      </c>
      <c r="O21" s="80" t="inlineStr"/>
      <c r="P21" s="80" t="inlineStr"/>
    </row>
    <row r="22">
      <c r="A22" s="77" t="n">
        <v>18</v>
      </c>
      <c r="B22" s="82" t="inlineStr">
        <is>
          <t>Medium</t>
        </is>
      </c>
      <c r="C22" s="77" t="inlineStr">
        <is>
          <t>Ghaf Woods Mall</t>
        </is>
      </c>
      <c r="D22" s="77" t="inlineStr">
        <is>
          <t>UAE</t>
        </is>
      </c>
      <c r="E22" s="77" t="n">
        <v>285</v>
      </c>
      <c r="F22" s="77" t="inlineStr">
        <is>
          <t>Status</t>
        </is>
      </c>
      <c r="G22" s="77" t="inlineStr">
        <is>
          <t>Dubai · Size 116,000 sqm (GLA unverified) · Opened — · Multi-Category</t>
        </is>
      </c>
      <c r="H22" s="77" t="inlineStr">
        <is>
          <t>In MAF's 2026 pipeline as its 30th mall (19th in the UAE); GLA not released.</t>
        </is>
      </c>
      <c r="I22" s="77" t="inlineStr">
        <is>
          <t>Keep as 2026; replace the site size with GLA when MAF releases it.</t>
        </is>
      </c>
      <c r="J22" s="77" t="inlineStr">
        <is>
          <t>2026-06-16</t>
        </is>
      </c>
      <c r="K22" s="77" t="inlineStr">
        <is>
          <t>2026-09-23</t>
        </is>
      </c>
      <c r="L22" s="77" t="inlineStr">
        <is>
          <t>MAF / Zawya; The National; Zawya; MEP Middle East</t>
        </is>
      </c>
      <c r="M22" s="79" t="inlineStr">
        <is>
          <t>majidalfuttaim.com</t>
        </is>
      </c>
      <c r="N22" s="80" t="inlineStr">
        <is>
          <t>Not Started</t>
        </is>
      </c>
      <c r="O22" s="80" t="inlineStr"/>
      <c r="P22" s="80" t="inlineStr"/>
    </row>
    <row r="23">
      <c r="A23" s="77" t="n">
        <v>19</v>
      </c>
      <c r="B23" s="82" t="inlineStr">
        <is>
          <t>Medium</t>
        </is>
      </c>
      <c r="C23" s="77" t="inlineStr">
        <is>
          <t>Mall Of The Emirates</t>
        </is>
      </c>
      <c r="D23" s="77" t="inlineStr">
        <is>
          <t>UAE</t>
        </is>
      </c>
      <c r="E23" s="77" t="n">
        <v>289</v>
      </c>
      <c r="F23" s="77" t="inlineStr">
        <is>
          <t>Leisure · F&amp;B</t>
        </is>
      </c>
      <c r="G23" s="77" t="inlineStr">
        <is>
          <t>Dubai · GLA 245,000 sqm · Opened 2005</t>
        </is>
      </c>
      <c r="H23" s="77" t="inlineStr">
        <is>
          <t>'The Hangout by Mall of the Emirates': 4 entertainment concepts and 18 F&amp;B outlets in the AED5bn transformation — Activate opens Oct 2026, SOCO Q4 2026, Explorers Q1 2027 (TradeArabia 1 Oct, TBreak 2 Oct).</t>
        </is>
      </c>
      <c r="I23" s="77" t="inlineStr">
        <is>
          <t>Add the new leisure zone to the property notes.</t>
        </is>
      </c>
      <c r="J23" s="77" t="inlineStr">
        <is>
          <t>2026-10-05</t>
        </is>
      </c>
      <c r="K23" s="77" t="inlineStr">
        <is>
          <t>2026-10-09</t>
        </is>
      </c>
      <c r="L23" s="77" t="inlineStr">
        <is>
          <t>MECSR intel skip log</t>
        </is>
      </c>
      <c r="M23" s="77" t="inlineStr"/>
      <c r="N23" s="80" t="inlineStr">
        <is>
          <t>Not Started</t>
        </is>
      </c>
      <c r="O23" s="80" t="inlineStr"/>
      <c r="P23" s="80" t="inlineStr"/>
    </row>
    <row r="24">
      <c r="A24" s="77" t="n">
        <v>20</v>
      </c>
      <c r="B24" s="82" t="inlineStr">
        <is>
          <t>Medium</t>
        </is>
      </c>
      <c r="C24" s="77" t="inlineStr">
        <is>
          <t>Mall of Al Ain</t>
        </is>
      </c>
      <c r="D24" s="77" t="inlineStr">
        <is>
          <t>UAE</t>
        </is>
      </c>
      <c r="E24" s="77" t="n">
        <v>264</v>
      </c>
      <c r="F24" s="77" t="inlineStr">
        <is>
          <t>Owner · redevelopment</t>
        </is>
      </c>
      <c r="G24" s="77" t="inlineStr">
        <is>
          <t>Al Ain · GLA 95,000 sqm · Opened 2021 · Multi-Category · Makani Real Estate</t>
        </is>
      </c>
      <c r="H24" s="77" t="inlineStr">
        <is>
          <t>Owned by MAIR Group / Makani Real Estate (since 2024); threefold redevelopment with construction from Q4 2026.</t>
        </is>
      </c>
      <c r="I24" s="77" t="inlineStr">
        <is>
          <t>Check the owner on the card; add the redevelopment.</t>
        </is>
      </c>
      <c r="J24" s="77" t="inlineStr">
        <is>
          <t>2026-07-06</t>
        </is>
      </c>
      <c r="K24" s="77" t="inlineStr">
        <is>
          <t>2026-07-06</t>
        </is>
      </c>
      <c r="L24" s="77" t="inlineStr">
        <is>
          <t>AGBI; Zawya; ADX filing</t>
        </is>
      </c>
      <c r="M24" s="79" t="inlineStr">
        <is>
          <t>agbi.com</t>
        </is>
      </c>
      <c r="N24" s="80" t="inlineStr">
        <is>
          <t>Not Started</t>
        </is>
      </c>
      <c r="O24" s="80" t="inlineStr"/>
      <c r="P24" s="80" t="inlineStr"/>
    </row>
    <row r="25">
      <c r="A25" s="77" t="n">
        <v>21</v>
      </c>
      <c r="B25" s="82" t="inlineStr">
        <is>
          <t>Medium</t>
        </is>
      </c>
      <c r="C25" s="77" t="inlineStr">
        <is>
          <t>Palm Jumeirah Mall</t>
        </is>
      </c>
      <c r="D25" s="77" t="inlineStr">
        <is>
          <t>UAE</t>
        </is>
      </c>
      <c r="E25" s="77" t="n">
        <v>290</v>
      </c>
      <c r="F25" s="77" t="inlineStr">
        <is>
          <t>Operator brand</t>
        </is>
      </c>
      <c r="G25" s="77" t="inlineStr">
        <is>
          <t>Dubai · GLA 110,147 sqm · Opened 2019</t>
        </is>
      </c>
      <c r="H25" s="77" t="inlineStr">
        <is>
          <t>Dubai Holding Asset Management runs its 40+ destinations as 'Dubai Retail'; formerly Nakheel Mall.</t>
        </is>
      </c>
      <c r="I25" s="77" t="inlineStr">
        <is>
          <t>Check every DHAM property shows 'Dubai Retail'.</t>
        </is>
      </c>
      <c r="J25" s="77" t="inlineStr">
        <is>
          <t>2026-07-14</t>
        </is>
      </c>
      <c r="K25" s="77" t="inlineStr">
        <is>
          <t>2026-08-27</t>
        </is>
      </c>
      <c r="L25" s="77" t="inlineStr">
        <is>
          <t>Zawya / WAM (Emirates News Agency); Zawya; WAM; MECSR intel skip log</t>
        </is>
      </c>
      <c r="M25" s="79" t="inlineStr">
        <is>
          <t>zawya.com</t>
        </is>
      </c>
      <c r="N25" s="80" t="inlineStr">
        <is>
          <t>Not Started</t>
        </is>
      </c>
      <c r="O25" s="80" t="inlineStr"/>
      <c r="P25" s="80" t="inlineStr"/>
    </row>
    <row r="26">
      <c r="A26" s="77" t="n">
        <v>22</v>
      </c>
      <c r="B26" s="82" t="inlineStr">
        <is>
          <t>Medium</t>
        </is>
      </c>
      <c r="C26" s="77" t="inlineStr">
        <is>
          <t>Sobha Community Retail</t>
        </is>
      </c>
      <c r="D26" s="77" t="inlineStr">
        <is>
          <t>UAE</t>
        </is>
      </c>
      <c r="E26" s="77" t="n">
        <v>271</v>
      </c>
      <c r="F26" s="77" t="inlineStr">
        <is>
          <t>Name</t>
        </is>
      </c>
      <c r="G26" s="77" t="inlineStr">
        <is>
          <t>Dubai · GLA 18,580 sqm · Opened 2026 · Multi-Category · McARTHUR COMPANY</t>
        </is>
      </c>
      <c r="H26" s="77" t="inlineStr">
        <is>
          <t>Reports call a Sobha Hartland community mall opening H2 2026 'Sobha Mall' (AED 210m, 35 outlets).</t>
        </is>
      </c>
      <c r="I26" s="77" t="inlineStr">
        <is>
          <t>Confirm with Sobha it is the same scheme; use the trading name.</t>
        </is>
      </c>
      <c r="J26" s="77" t="inlineStr">
        <is>
          <t>2026-06-16</t>
        </is>
      </c>
      <c r="K26" s="77" t="inlineStr">
        <is>
          <t>2026-09-22</t>
        </is>
      </c>
      <c r="L26" s="77" t="inlineStr">
        <is>
          <t>Gulf News; Zawya (Shamal Holding release); Time Out Dubai; MECSR intel skip log</t>
        </is>
      </c>
      <c r="M26" s="79" t="inlineStr">
        <is>
          <t>gulfnews.com</t>
        </is>
      </c>
      <c r="N26" s="80" t="inlineStr">
        <is>
          <t>Not Started</t>
        </is>
      </c>
      <c r="O26" s="80" t="inlineStr"/>
      <c r="P26" s="80" t="inlineStr"/>
    </row>
    <row r="27">
      <c r="A27" s="77" t="n">
        <v>23</v>
      </c>
      <c r="B27" s="83" t="inlineStr">
        <is>
          <t>Low</t>
        </is>
      </c>
      <c r="C27" s="77" t="inlineStr">
        <is>
          <t>City Centre Bahrain</t>
        </is>
      </c>
      <c r="D27" s="77" t="inlineStr">
        <is>
          <t>Bahrain</t>
        </is>
      </c>
      <c r="E27" s="77" t="n">
        <v>98</v>
      </c>
      <c r="F27" s="77" t="inlineStr">
        <is>
          <t>Tenant</t>
        </is>
      </c>
      <c r="G27" s="77" t="inlineStr">
        <is>
          <t>Manama · GLA 155,000 sqm · Opened 2008</t>
        </is>
      </c>
      <c r="H27" s="77" t="inlineStr">
        <is>
          <t>Primark's first Bahrain store, set for 23 Sep 2026 (reported 17 Sep).</t>
        </is>
      </c>
      <c r="I27" s="77" t="inlineStr">
        <is>
          <t>Add Primark as an anchor once trading.</t>
        </is>
      </c>
      <c r="J27" s="77" t="inlineStr">
        <is>
          <t>2026-07-09</t>
        </is>
      </c>
      <c r="K27" s="77" t="inlineStr">
        <is>
          <t>2026-09-22</t>
        </is>
      </c>
      <c r="L27" s="77" t="inlineStr">
        <is>
          <t>Gulf Business; City Centre Bahrain (official); Mall announcement; MECSR intel skip log</t>
        </is>
      </c>
      <c r="M27" s="79" t="inlineStr">
        <is>
          <t>gulfbusiness.com</t>
        </is>
      </c>
      <c r="N27" s="80" t="inlineStr">
        <is>
          <t>Not Started</t>
        </is>
      </c>
      <c r="O27" s="80" t="inlineStr"/>
      <c r="P27" s="80" t="inlineStr"/>
    </row>
    <row r="28">
      <c r="A28" s="77" t="n">
        <v>24</v>
      </c>
      <c r="B28" s="83" t="inlineStr">
        <is>
          <t>Low</t>
        </is>
      </c>
      <c r="C28" s="77" t="inlineStr">
        <is>
          <t>Marassi Galleria</t>
        </is>
      </c>
      <c r="D28" s="77" t="inlineStr">
        <is>
          <t>Bahrain</t>
        </is>
      </c>
      <c r="E28" s="77" t="n">
        <v>98</v>
      </c>
      <c r="F28" s="77" t="inlineStr">
        <is>
          <t>Tenant</t>
        </is>
      </c>
      <c r="G28" s="77" t="inlineStr">
        <is>
          <t>Manama · GLA 114,000 sqm · Opened 2024</t>
        </is>
      </c>
      <c r="H28" s="77" t="inlineStr">
        <is>
          <t>Volvo Cars boutique near Gate 1.</t>
        </is>
      </c>
      <c r="I28" s="77" t="inlineStr">
        <is>
          <t>Confirm with a second source.</t>
        </is>
      </c>
      <c r="J28" s="77" t="inlineStr">
        <is>
          <t>2026-08-26</t>
        </is>
      </c>
      <c r="K28" s="77" t="inlineStr">
        <is>
          <t>2026-08-27</t>
        </is>
      </c>
      <c r="L28" s="77" t="inlineStr">
        <is>
          <t>The Daily Tribune | Kingdom of Bahrain; The Daily Tribune (Bahrain); MECSR intel skip log</t>
        </is>
      </c>
      <c r="M28" s="79" t="inlineStr">
        <is>
          <t>newsofbahrain.com</t>
        </is>
      </c>
      <c r="N28" s="80" t="inlineStr">
        <is>
          <t>Not Started</t>
        </is>
      </c>
      <c r="O28" s="80" t="inlineStr"/>
      <c r="P28" s="80" t="inlineStr"/>
    </row>
    <row r="29">
      <c r="A29" s="77" t="n">
        <v>25</v>
      </c>
      <c r="B29" s="83" t="inlineStr">
        <is>
          <t>Low</t>
        </is>
      </c>
      <c r="C29" s="77" t="inlineStr">
        <is>
          <t>The Avenues - Bahrain</t>
        </is>
      </c>
      <c r="D29" s="77" t="inlineStr">
        <is>
          <t>Bahrain</t>
        </is>
      </c>
      <c r="E29" s="77" t="n">
        <v>98</v>
      </c>
      <c r="F29" s="77" t="inlineStr">
        <is>
          <t>Tenant</t>
        </is>
      </c>
      <c r="G29" s="77" t="inlineStr">
        <is>
          <t>Manama · GLA 84,000 sqm · Opened 2017 · Component detail pending verification</t>
        </is>
      </c>
      <c r="H29" s="77" t="inlineStr">
        <is>
          <t>stc flagship at the New Extension.</t>
        </is>
      </c>
      <c r="I29" s="77" t="inlineStr">
        <is>
          <t>Verify the date before adding.</t>
        </is>
      </c>
      <c r="J29" s="77" t="inlineStr">
        <is>
          <t>2026-08-10</t>
        </is>
      </c>
      <c r="K29" s="77" t="inlineStr">
        <is>
          <t>2026-08-10</t>
        </is>
      </c>
      <c r="L29" s="77" t="inlineStr">
        <is>
          <t>Zawya; Zawya (press release)</t>
        </is>
      </c>
      <c r="M29" s="79" t="inlineStr">
        <is>
          <t>zawya.com</t>
        </is>
      </c>
      <c r="N29" s="80" t="inlineStr">
        <is>
          <t>Not Started</t>
        </is>
      </c>
      <c r="O29" s="80" t="inlineStr"/>
      <c r="P29" s="80" t="inlineStr"/>
    </row>
    <row r="30">
      <c r="A30" s="77" t="n">
        <v>26</v>
      </c>
      <c r="B30" s="83" t="inlineStr">
        <is>
          <t>Low</t>
        </is>
      </c>
      <c r="C30" s="77" t="inlineStr">
        <is>
          <t>Al Khiran</t>
        </is>
      </c>
      <c r="D30" s="77" t="inlineStr">
        <is>
          <t>Kuwait</t>
        </is>
      </c>
      <c r="E30" s="77" t="n">
        <v>161</v>
      </c>
      <c r="F30" s="77" t="inlineStr">
        <is>
          <t>Size · format</t>
        </is>
      </c>
      <c r="G30" s="77" t="inlineStr">
        <is>
          <t>Ahmadi · GLA 88,300 sqm · Opened 2023</t>
        </is>
      </c>
      <c r="H30" s="77" t="inlineStr">
        <is>
          <t>Tamdeen calls it the region's first hybrid outlet mall: $820m, 350,000 sqm, 300+ stores, 900-berth marina.</t>
        </is>
      </c>
      <c r="I30" s="77" t="inlineStr">
        <is>
          <t>350,000 sqm is probably total area — keep the GLA unless Tamdeen says otherwise; add the outlet format.</t>
        </is>
      </c>
      <c r="J30" s="77" t="inlineStr">
        <is>
          <t>2026-06-26</t>
        </is>
      </c>
      <c r="K30" s="77" t="inlineStr">
        <is>
          <t>2026-08-20</t>
        </is>
      </c>
      <c r="L30" s="77" t="inlineStr">
        <is>
          <t>Tamdeen Group PR; Tamdeen PR; Blooloop; MECSR intel skip log</t>
        </is>
      </c>
      <c r="M30" s="79" t="inlineStr">
        <is>
          <t>tamdeen.com</t>
        </is>
      </c>
      <c r="N30" s="80" t="inlineStr">
        <is>
          <t>Not Started</t>
        </is>
      </c>
      <c r="O30" s="80" t="inlineStr"/>
      <c r="P30" s="80" t="inlineStr"/>
    </row>
    <row r="31">
      <c r="A31" s="77" t="n">
        <v>27</v>
      </c>
      <c r="B31" s="83" t="inlineStr">
        <is>
          <t>Low</t>
        </is>
      </c>
      <c r="C31" s="77" t="inlineStr">
        <is>
          <t>Morocco Mall</t>
        </is>
      </c>
      <c r="D31" s="77" t="inlineStr">
        <is>
          <t>Morocco</t>
        </is>
      </c>
      <c r="E31" s="77" t="n">
        <v>175</v>
      </c>
      <c r="F31" s="77" t="inlineStr">
        <is>
          <t>Tenant</t>
        </is>
      </c>
      <c r="G31" s="77" t="inlineStr">
        <is>
          <t>Casablanca · GLA 190,000 sqm · Opened 2011 · Multi-Category · Al Amine d'Investissement Immobili</t>
        </is>
      </c>
      <c r="H31" s="77" t="inlineStr">
        <is>
          <t>MANGO moved to a prime 405 m² unit in its 'New Med' concept (18 Jul 2026).</t>
        </is>
      </c>
      <c r="I31" s="77" t="inlineStr">
        <is>
          <t>Tenant note only.</t>
        </is>
      </c>
      <c r="J31" s="77" t="inlineStr">
        <is>
          <t>2026-07-30</t>
        </is>
      </c>
      <c r="K31" s="77" t="inlineStr">
        <is>
          <t>2026-08-07</t>
        </is>
      </c>
      <c r="L31" s="77" t="inlineStr">
        <is>
          <t>Hudson Holdings; Hudson Holdings (MANGO franchise partner)</t>
        </is>
      </c>
      <c r="M31" s="79" t="inlineStr">
        <is>
          <t>hudson.com.mt</t>
        </is>
      </c>
      <c r="N31" s="80" t="inlineStr">
        <is>
          <t>Not Started</t>
        </is>
      </c>
      <c r="O31" s="80" t="inlineStr"/>
      <c r="P31" s="80" t="inlineStr"/>
    </row>
    <row r="32">
      <c r="A32" s="77" t="n">
        <v>28</v>
      </c>
      <c r="B32" s="83" t="inlineStr">
        <is>
          <t>Low</t>
        </is>
      </c>
      <c r="C32" s="77" t="inlineStr">
        <is>
          <t>Mall of Muscat</t>
        </is>
      </c>
      <c r="D32" s="77" t="inlineStr">
        <is>
          <t>Oman</t>
        </is>
      </c>
      <c r="E32" s="77" t="n">
        <v>185</v>
      </c>
      <c r="F32" s="77" t="inlineStr">
        <is>
          <t>Entertainment anchor</t>
        </is>
      </c>
      <c r="G32" s="77" t="inlineStr">
        <is>
          <t>Muscat · GLA 94,000 sqm · Opened 2019 · Multi-Category · Tamani Global Development &amp; Inve</t>
        </is>
      </c>
      <c r="H32" s="77" t="inlineStr">
        <is>
          <t>Century Cinemas (14 screens) added.</t>
        </is>
      </c>
      <c r="I32" s="77" t="inlineStr">
        <is>
          <t>Add to entertainment anchors.</t>
        </is>
      </c>
      <c r="J32" s="77" t="inlineStr">
        <is>
          <t>2026-07-03</t>
        </is>
      </c>
      <c r="K32" s="77" t="inlineStr">
        <is>
          <t>2026-09-07</t>
        </is>
      </c>
      <c r="L32" s="77" t="inlineStr">
        <is>
          <t>Oman Observer; GCC Business News; Zawya (press release); Zawya</t>
        </is>
      </c>
      <c r="M32" s="79" t="inlineStr">
        <is>
          <t>omanobserver.om</t>
        </is>
      </c>
      <c r="N32" s="80" t="inlineStr">
        <is>
          <t>Not Started</t>
        </is>
      </c>
      <c r="O32" s="80" t="inlineStr"/>
      <c r="P32" s="80" t="inlineStr"/>
    </row>
    <row r="33">
      <c r="A33" s="77" t="n">
        <v>29</v>
      </c>
      <c r="B33" s="83" t="inlineStr">
        <is>
          <t>Low</t>
        </is>
      </c>
      <c r="C33" s="77" t="inlineStr">
        <is>
          <t>Oman Avenues Mall</t>
        </is>
      </c>
      <c r="D33" s="77" t="inlineStr">
        <is>
          <t>Oman</t>
        </is>
      </c>
      <c r="E33" s="77" t="n">
        <v>185</v>
      </c>
      <c r="F33" s="77" t="inlineStr">
        <is>
          <t>Anchors</t>
        </is>
      </c>
      <c r="G33" s="77" t="inlineStr">
        <is>
          <t>Muscat · GLA 103,000 sqm · Opened 2015 · Multi-Category · Lulu Shopping Malls Muscat LLC</t>
        </is>
      </c>
      <c r="H33" s="77" t="inlineStr">
        <is>
          <t>New Centrepoint anchor; the Gulf's first Anne Klein store.</t>
        </is>
      </c>
      <c r="I33" s="77" t="inlineStr">
        <is>
          <t>Tenant note.</t>
        </is>
      </c>
      <c r="J33" s="77" t="inlineStr">
        <is>
          <t>2026-07-09</t>
        </is>
      </c>
      <c r="K33" s="77" t="inlineStr">
        <is>
          <t>2026-07-14</t>
        </is>
      </c>
      <c r="L33" s="77" t="inlineStr">
        <is>
          <t>Zawya (press release); Zawya (Apparel Group press release)</t>
        </is>
      </c>
      <c r="M33" s="79" t="inlineStr">
        <is>
          <t>zawya.com</t>
        </is>
      </c>
      <c r="N33" s="80" t="inlineStr">
        <is>
          <t>Not Started</t>
        </is>
      </c>
      <c r="O33" s="80" t="inlineStr"/>
      <c r="P33" s="80" t="inlineStr"/>
    </row>
    <row r="34">
      <c r="A34" s="77" t="n">
        <v>30</v>
      </c>
      <c r="B34" s="83" t="inlineStr">
        <is>
          <t>Low</t>
        </is>
      </c>
      <c r="C34" s="77" t="inlineStr">
        <is>
          <t>Dolmen Mall Clifton</t>
        </is>
      </c>
      <c r="D34" s="77" t="inlineStr">
        <is>
          <t>Pakistan</t>
        </is>
      </c>
      <c r="E34" s="77" t="n">
        <v>193</v>
      </c>
      <c r="F34" s="77" t="inlineStr">
        <is>
          <t>Anchor (hold)</t>
        </is>
      </c>
      <c r="G34" s="77" t="inlineStr">
        <is>
          <t>Sindh · GLA 52,000 sqm · Opened 2011 · Multi-Category · Dolmen Group</t>
        </is>
      </c>
      <c r="H34" s="77" t="inlineStr">
        <is>
          <t>SPAR Pakistan anchor partnership — LinkedIn only.</t>
        </is>
      </c>
      <c r="I34" s="77" t="inlineStr">
        <is>
          <t>Do not change until Dawn, Business Recorder or Dolmen confirm.</t>
        </is>
      </c>
      <c r="J34" s="77" t="inlineStr">
        <is>
          <t>2026-07-03</t>
        </is>
      </c>
      <c r="K34" s="77" t="inlineStr">
        <is>
          <t>2026-09-04</t>
        </is>
      </c>
      <c r="L34" s="77" t="inlineStr">
        <is>
          <t>Pro Pakistani; ProPakistani</t>
        </is>
      </c>
      <c r="M34" s="79" t="inlineStr">
        <is>
          <t>propakistani.pk</t>
        </is>
      </c>
      <c r="N34" s="80" t="inlineStr">
        <is>
          <t>Not Started</t>
        </is>
      </c>
      <c r="O34" s="80" t="inlineStr"/>
      <c r="P34" s="80" t="inlineStr"/>
    </row>
    <row r="35">
      <c r="A35" s="77" t="n">
        <v>31</v>
      </c>
      <c r="B35" s="83" t="inlineStr">
        <is>
          <t>Low</t>
        </is>
      </c>
      <c r="C35" s="77" t="inlineStr">
        <is>
          <t>Dolmen Mall Lahore</t>
        </is>
      </c>
      <c r="D35" s="77" t="inlineStr">
        <is>
          <t>Pakistan</t>
        </is>
      </c>
      <c r="E35" s="77" t="n">
        <v>193</v>
      </c>
      <c r="F35" s="77" t="inlineStr">
        <is>
          <t>Tenants</t>
        </is>
      </c>
      <c r="G35" s="77" t="inlineStr">
        <is>
          <t>Punjab · GLA 75,000 sqm · Opened 2024 · Multi-Category</t>
        </is>
      </c>
      <c r="H35" s="77" t="inlineStr">
        <is>
          <t>YSL and Armani Beauty added.</t>
        </is>
      </c>
      <c r="I35" s="77" t="inlineStr">
        <is>
          <t>Tenant note.</t>
        </is>
      </c>
      <c r="J35" s="77" t="inlineStr">
        <is>
          <t>2026-07-20</t>
        </is>
      </c>
      <c r="K35" s="77" t="inlineStr">
        <is>
          <t>2026-07-20</t>
        </is>
      </c>
      <c r="L35" s="77" t="inlineStr">
        <is>
          <t>Dawn; Profit by Pakistan Today; Dawn (Images)</t>
        </is>
      </c>
      <c r="M35" s="79" t="inlineStr">
        <is>
          <t>images.dawn.com</t>
        </is>
      </c>
      <c r="N35" s="80" t="inlineStr">
        <is>
          <t>Not Started</t>
        </is>
      </c>
      <c r="O35" s="80" t="inlineStr"/>
      <c r="P35" s="80" t="inlineStr"/>
    </row>
    <row r="36">
      <c r="A36" s="77" t="n">
        <v>32</v>
      </c>
      <c r="B36" s="83" t="inlineStr">
        <is>
          <t>Low</t>
        </is>
      </c>
      <c r="C36" s="77" t="inlineStr">
        <is>
          <t>Doha Mall</t>
        </is>
      </c>
      <c r="D36" s="77" t="inlineStr">
        <is>
          <t>Qatar</t>
        </is>
      </c>
      <c r="E36" s="77" t="n">
        <v>201</v>
      </c>
      <c r="F36" s="77" t="inlineStr">
        <is>
          <t>Footfall</t>
        </is>
      </c>
      <c r="G36" s="77" t="inlineStr">
        <is>
          <t>Doha · GLA 140,000 sqm · Opened 2020 · Multi-Category · Al Mirqab Group</t>
        </is>
      </c>
      <c r="H36" s="77" t="inlineStr">
        <is>
          <t>Footfall +73% over Eid Al-Fitr and +97% over Eid Al-Adha; 30 new brands. Operator Al Mirqab Malls is not a member.</t>
        </is>
      </c>
      <c r="I36" s="77" t="inlineStr">
        <is>
          <t>Membership outreach candidate.</t>
        </is>
      </c>
      <c r="J36" s="77" t="inlineStr">
        <is>
          <t>2026-07-09</t>
        </is>
      </c>
      <c r="K36" s="77" t="inlineStr">
        <is>
          <t>2026-08-27</t>
        </is>
      </c>
      <c r="L36" s="77" t="inlineStr">
        <is>
          <t>Qatar Living; The Peninsula Qatar; MECSR intel skip log</t>
        </is>
      </c>
      <c r="M36" s="79" t="inlineStr">
        <is>
          <t>qatarliving.com</t>
        </is>
      </c>
      <c r="N36" s="80" t="inlineStr">
        <is>
          <t>Not Started</t>
        </is>
      </c>
      <c r="O36" s="80" t="inlineStr"/>
      <c r="P36" s="80" t="inlineStr"/>
    </row>
    <row r="37">
      <c r="A37" s="77" t="n">
        <v>33</v>
      </c>
      <c r="B37" s="83" t="inlineStr">
        <is>
          <t>Low</t>
        </is>
      </c>
      <c r="C37" s="77" t="inlineStr">
        <is>
          <t>Place Vendôme</t>
        </is>
      </c>
      <c r="D37" s="77" t="inlineStr">
        <is>
          <t>Qatar</t>
        </is>
      </c>
      <c r="E37" s="77" t="n">
        <v>205</v>
      </c>
      <c r="F37" s="77" t="inlineStr">
        <is>
          <t>Tenants</t>
        </is>
      </c>
      <c r="G37" s="77" t="inlineStr">
        <is>
          <t>Lusail · GLA 200,000 sqm · Opened 2022</t>
        </is>
      </c>
      <c r="H37" s="77" t="inlineStr">
        <is>
          <t>New Balance Grey Store (a Middle East first), Breitling, APM Monaco, LG.</t>
        </is>
      </c>
      <c r="I37" s="77" t="inlineStr">
        <is>
          <t>Tenant note.</t>
        </is>
      </c>
      <c r="J37" s="77" t="inlineStr">
        <is>
          <t>2026-07-17</t>
        </is>
      </c>
      <c r="K37" s="77" t="inlineStr">
        <is>
          <t>2026-08-12</t>
        </is>
      </c>
      <c r="L37" s="77" t="inlineStr">
        <is>
          <t>Zawya (Reuters syndication); WWD; The Peninsula Qatar</t>
        </is>
      </c>
      <c r="M37" s="79" t="inlineStr">
        <is>
          <t>thepeninsulaqatar.com</t>
        </is>
      </c>
      <c r="N37" s="80" t="inlineStr">
        <is>
          <t>Not Started</t>
        </is>
      </c>
      <c r="O37" s="80" t="inlineStr"/>
      <c r="P37" s="80" t="inlineStr"/>
    </row>
    <row r="38">
      <c r="A38" s="77" t="n">
        <v>34</v>
      </c>
      <c r="B38" s="83" t="inlineStr">
        <is>
          <t>Low</t>
        </is>
      </c>
      <c r="C38" s="77" t="inlineStr">
        <is>
          <t>Al Jawhara Mall</t>
        </is>
      </c>
      <c r="D38" s="77" t="inlineStr">
        <is>
          <t>Saudi Arabia</t>
        </is>
      </c>
      <c r="E38" s="77" t="n">
        <v>209</v>
      </c>
      <c r="F38" s="77" t="inlineStr">
        <is>
          <t>Possible duplicate</t>
        </is>
      </c>
      <c r="G38" s="77" t="inlineStr">
        <is>
          <t>Makkah Province · GLA 80,000 sqm · Opened 2022 · Multi-Category · Mohammad Al Habib Real Estate In</t>
        </is>
      </c>
      <c r="H38" s="77" t="inlineStr">
        <is>
          <t>Westfield Jeddah was called Jawharat Jeddah before 2024.</t>
        </is>
      </c>
      <c r="I38" s="77" t="inlineStr">
        <is>
          <t>Check this card (Makkah Province, 80,000 sqm, 2022) is a different centre, not the old name.</t>
        </is>
      </c>
      <c r="J38" s="77" t="inlineStr">
        <is>
          <t>2026-08-06</t>
        </is>
      </c>
      <c r="K38" s="77" t="inlineStr">
        <is>
          <t>2026-08-06</t>
        </is>
      </c>
      <c r="L38" s="77" t="inlineStr">
        <is>
          <t>Argaam</t>
        </is>
      </c>
      <c r="M38" s="79" t="inlineStr">
        <is>
          <t>argaam.com</t>
        </is>
      </c>
      <c r="N38" s="80" t="inlineStr">
        <is>
          <t>Not Started</t>
        </is>
      </c>
      <c r="O38" s="80" t="inlineStr"/>
      <c r="P38" s="80" t="inlineStr"/>
    </row>
    <row r="39">
      <c r="A39" s="77" t="n">
        <v>35</v>
      </c>
      <c r="B39" s="83" t="inlineStr">
        <is>
          <t>Low</t>
        </is>
      </c>
      <c r="C39" s="77" t="inlineStr">
        <is>
          <t>Cenomi Al Noor Mall</t>
        </is>
      </c>
      <c r="D39" s="77" t="inlineStr">
        <is>
          <t>Saudi Arabia</t>
        </is>
      </c>
      <c r="E39" s="77" t="n">
        <v>212</v>
      </c>
      <c r="F39" s="77" t="inlineStr">
        <is>
          <t>Status</t>
        </is>
      </c>
      <c r="G39" s="77" t="inlineStr">
        <is>
          <t>Medina · GLA 60,000 sqm · Opened 2008 · Multi-Category · Cenomi Centers</t>
        </is>
      </c>
      <c r="H39" s="77" t="inlineStr">
        <is>
          <t>A design / contractor award for Cenomi Al Noor Mall, Medina, has been on the intel watch list since Aug 2026.</t>
        </is>
      </c>
      <c r="I39" s="77" t="inlineStr">
        <is>
          <t>Ask Cenomi whether a redevelopment is planned before the data freeze.</t>
        </is>
      </c>
      <c r="J39" s="77" t="inlineStr">
        <is>
          <t>2026-08-20</t>
        </is>
      </c>
      <c r="K39" s="77" t="inlineStr">
        <is>
          <t>2026-09-22</t>
        </is>
      </c>
      <c r="L39" s="77" t="inlineStr">
        <is>
          <t>MECSR intel skip log</t>
        </is>
      </c>
      <c r="M39" s="77" t="inlineStr"/>
      <c r="N39" s="80" t="inlineStr">
        <is>
          <t>Not Started</t>
        </is>
      </c>
      <c r="O39" s="80" t="inlineStr"/>
      <c r="P39" s="80" t="inlineStr"/>
    </row>
    <row r="40">
      <c r="A40" s="77" t="n">
        <v>36</v>
      </c>
      <c r="B40" s="83" t="inlineStr">
        <is>
          <t>Low</t>
        </is>
      </c>
      <c r="C40" s="77" t="inlineStr">
        <is>
          <t>Cenomi Aziz Mall</t>
        </is>
      </c>
      <c r="D40" s="77" t="inlineStr">
        <is>
          <t>Saudi Arabia</t>
        </is>
      </c>
      <c r="E40" s="77" t="n">
        <v>210</v>
      </c>
      <c r="F40" s="77" t="inlineStr">
        <is>
          <t>Anchor</t>
        </is>
      </c>
      <c r="G40" s="77" t="inlineStr">
        <is>
          <t>Jeddah · GLA 69,000 sqm · Opened 2005 · Multi-Category · Cenomi Centers</t>
        </is>
      </c>
      <c r="H40" s="77" t="inlineStr">
        <is>
          <t>LuLu reported as a new anchor.</t>
        </is>
      </c>
      <c r="I40" s="77" t="inlineStr">
        <is>
          <t>Confirm via LuLu or Cenomi before adding.</t>
        </is>
      </c>
      <c r="J40" s="77" t="inlineStr">
        <is>
          <t>2026-07-16</t>
        </is>
      </c>
      <c r="K40" s="77" t="inlineStr">
        <is>
          <t>2026-07-16</t>
        </is>
      </c>
      <c r="L40" s="77" t="inlineStr">
        <is>
          <t>Saudi Gazette via Zawya; Saudi Gazette via Zawya — cross-reference recommended</t>
        </is>
      </c>
      <c r="M40" s="79" t="inlineStr">
        <is>
          <t>zawya.com</t>
        </is>
      </c>
      <c r="N40" s="80" t="inlineStr">
        <is>
          <t>Not Started</t>
        </is>
      </c>
      <c r="O40" s="80" t="inlineStr"/>
      <c r="P40" s="80" t="inlineStr"/>
    </row>
    <row r="41">
      <c r="A41" s="77" t="n">
        <v>37</v>
      </c>
      <c r="B41" s="83" t="inlineStr">
        <is>
          <t>Low</t>
        </is>
      </c>
      <c r="C41" s="77" t="inlineStr">
        <is>
          <t>Diriyah Square</t>
        </is>
      </c>
      <c r="D41" s="77" t="inlineStr">
        <is>
          <t>Saudi Arabia</t>
        </is>
      </c>
      <c r="E41" s="77" t="n">
        <v>236</v>
      </c>
      <c r="F41" s="77" t="inlineStr">
        <is>
          <t>Status</t>
        </is>
      </c>
      <c r="G41" s="77" t="inlineStr">
        <is>
          <t>Diriyah · Size 365,340 sqm (GLA unverified) · Opened 2028</t>
        </is>
      </c>
      <c r="H41" s="77" t="inlineStr">
        <is>
          <t>Surrounding public-realm contracts progressing (Satco award).</t>
        </is>
      </c>
      <c r="I41" s="77" t="inlineStr">
        <is>
          <t>Status note.</t>
        </is>
      </c>
      <c r="J41" s="77" t="inlineStr">
        <is>
          <t>2026-06-26</t>
        </is>
      </c>
      <c r="K41" s="77" t="inlineStr">
        <is>
          <t>2026-09-22</t>
        </is>
      </c>
      <c r="L41" s="77" t="inlineStr">
        <is>
          <t>Arab News; AGBI; TradeArabia; MECSR intel skip log</t>
        </is>
      </c>
      <c r="M41" s="79" t="inlineStr">
        <is>
          <t>agbi.com</t>
        </is>
      </c>
      <c r="N41" s="80" t="inlineStr">
        <is>
          <t>Not Started</t>
        </is>
      </c>
      <c r="O41" s="80" t="inlineStr"/>
      <c r="P41" s="80" t="inlineStr"/>
    </row>
    <row r="42">
      <c r="A42" s="77" t="n">
        <v>38</v>
      </c>
      <c r="B42" s="83" t="inlineStr">
        <is>
          <t>Low</t>
        </is>
      </c>
      <c r="C42" s="77" t="inlineStr">
        <is>
          <t>Mall Of Saudi</t>
        </is>
      </c>
      <c r="D42" s="77" t="inlineStr">
        <is>
          <t>Saudi Arabia</t>
        </is>
      </c>
      <c r="E42" s="77" t="n">
        <v>207</v>
      </c>
      <c r="F42" s="77" t="inlineStr">
        <is>
          <t>Size</t>
        </is>
      </c>
      <c r="G42" s="77" t="inlineStr">
        <is>
          <t>Riyadh · GLA 300,000 sqm · Opened — · Multi-Category · Majid Al Futtaim</t>
        </is>
      </c>
      <c r="H42" s="77" t="inlineStr">
        <is>
          <t>214,000 sqm BUA, SR16bn, ski slope — from a Dec 2022 article.</t>
        </is>
      </c>
      <c r="I42" s="77" t="inlineStr">
        <is>
          <t>The only source is from 2022; verify the 300,000 sqm GLA on the card.</t>
        </is>
      </c>
      <c r="J42" s="77" t="inlineStr">
        <is>
          <t>2026-06-16</t>
        </is>
      </c>
      <c r="K42" s="77" t="inlineStr">
        <is>
          <t>2026-06-16</t>
        </is>
      </c>
      <c r="L42" s="77" t="inlineStr">
        <is>
          <t>MAF Official; Arab News</t>
        </is>
      </c>
      <c r="M42" s="79" t="inlineStr">
        <is>
          <t>majidalfuttaim.com</t>
        </is>
      </c>
      <c r="N42" s="80" t="inlineStr">
        <is>
          <t>Not Started</t>
        </is>
      </c>
      <c r="O42" s="80" t="inlineStr"/>
      <c r="P42" s="80" t="inlineStr"/>
    </row>
    <row r="43">
      <c r="A43" s="77" t="n">
        <v>39</v>
      </c>
      <c r="B43" s="83" t="inlineStr">
        <is>
          <t>Low</t>
        </is>
      </c>
      <c r="C43" s="77" t="inlineStr">
        <is>
          <t>City Centre Mirdif</t>
        </is>
      </c>
      <c r="D43" s="77" t="inlineStr">
        <is>
          <t>UAE</t>
        </is>
      </c>
      <c r="E43" s="77" t="n">
        <v>262</v>
      </c>
      <c r="F43" s="77" t="inlineStr">
        <is>
          <t>Anchors</t>
        </is>
      </c>
      <c r="G43" s="77" t="inlineStr">
        <is>
          <t>Dubai · GLA 193,000 sqm · Opened 2010 · Multi-Category · Majid Al Futtaim Properties LLC</t>
        </is>
      </c>
      <c r="H43" s="77" t="inlineStr">
        <is>
          <t>New 'Explorers' leisure concept; Primark opened 9 Apr 2026.</t>
        </is>
      </c>
      <c r="I43" s="77" t="inlineStr">
        <is>
          <t>Tenant note.</t>
        </is>
      </c>
      <c r="J43" s="77" t="inlineStr">
        <is>
          <t>2026-06-26</t>
        </is>
      </c>
      <c r="K43" s="77" t="inlineStr">
        <is>
          <t>2026-08-10</t>
        </is>
      </c>
      <c r="L43" s="77" t="inlineStr">
        <is>
          <t>Arabian Business; Primark corporate; Gulf News; Majid Al Futtaim press office</t>
        </is>
      </c>
      <c r="M43" s="79" t="inlineStr">
        <is>
          <t>majidalfuttaim.com</t>
        </is>
      </c>
      <c r="N43" s="80" t="inlineStr">
        <is>
          <t>Not Started</t>
        </is>
      </c>
      <c r="O43" s="80" t="inlineStr"/>
      <c r="P43" s="80" t="inlineStr"/>
    </row>
    <row r="44">
      <c r="A44" s="77" t="n">
        <v>40</v>
      </c>
      <c r="B44" s="83" t="inlineStr">
        <is>
          <t>Low</t>
        </is>
      </c>
      <c r="C44" s="77" t="inlineStr">
        <is>
          <t>Dalma Mall</t>
        </is>
      </c>
      <c r="D44" s="77" t="inlineStr">
        <is>
          <t>UAE</t>
        </is>
      </c>
      <c r="E44" s="77" t="n">
        <v>263</v>
      </c>
      <c r="F44" s="77" t="inlineStr">
        <is>
          <t>Tenants</t>
        </is>
      </c>
      <c r="G44" s="77" t="inlineStr">
        <is>
          <t>Abu Dhabi · GLA 151,000 sqm · Opened 2010 · Multi-Category · The Developers Holding LLC</t>
        </is>
      </c>
      <c r="H44" s="77" t="inlineStr">
        <is>
          <t>New UAB branch, the Suwen brand's entry, and ANA's second restaurant (1 Sep 2026).</t>
        </is>
      </c>
      <c r="I44" s="77" t="inlineStr">
        <is>
          <t>Tenant note (Dalma is a Gold sponsor).</t>
        </is>
      </c>
      <c r="J44" s="77" t="inlineStr">
        <is>
          <t>2026-07-03</t>
        </is>
      </c>
      <c r="K44" s="77" t="inlineStr">
        <is>
          <t>2026-09-21</t>
        </is>
      </c>
      <c r="L44" s="77" t="inlineStr">
        <is>
          <t>Zawya (AETOSWire press release); Hotel &amp; Catering; Zawya (via TradingView); Zawya (AETOSWire)</t>
        </is>
      </c>
      <c r="M44" s="79" t="inlineStr">
        <is>
          <t>hotelandcatering.com</t>
        </is>
      </c>
      <c r="N44" s="80" t="inlineStr">
        <is>
          <t>Not Started</t>
        </is>
      </c>
      <c r="O44" s="80" t="inlineStr"/>
      <c r="P44" s="80" t="inlineStr"/>
    </row>
    <row r="45">
      <c r="A45" s="77" t="n">
        <v>41</v>
      </c>
      <c r="B45" s="83" t="inlineStr">
        <is>
          <t>Low</t>
        </is>
      </c>
      <c r="C45" s="77" t="inlineStr">
        <is>
          <t>Dubai Hills Mall</t>
        </is>
      </c>
      <c r="D45" s="77" t="inlineStr">
        <is>
          <t>UAE</t>
        </is>
      </c>
      <c r="E45" s="77" t="n">
        <v>289</v>
      </c>
      <c r="F45" s="77" t="inlineStr">
        <is>
          <t>Tenants</t>
        </is>
      </c>
      <c r="G45" s="77" t="inlineStr">
        <is>
          <t>Not printed — in the A–Z (p289) but dropped from the mixed-use pages; see 13 Book QA</t>
        </is>
      </c>
      <c r="H45" s="77" t="inlineStr">
        <is>
          <t>Ulta Beauty (Alshaya) trading — its third UAE store; Crate &amp; Barrel / CB2.</t>
        </is>
      </c>
      <c r="I45" s="77" t="inlineStr">
        <is>
          <t>Tenant note.</t>
        </is>
      </c>
      <c r="J45" s="77" t="inlineStr">
        <is>
          <t>2026-06-22</t>
        </is>
      </c>
      <c r="K45" s="77" t="inlineStr">
        <is>
          <t>2026-08-31</t>
        </is>
      </c>
      <c r="L45" s="77" t="inlineStr">
        <is>
          <t>Zawya; Harper's Bazaar Arabia; Dubai Shopping Guide; MECSR intel skip log</t>
        </is>
      </c>
      <c r="M45" s="79" t="inlineStr">
        <is>
          <t>harpersbazaararabia.com</t>
        </is>
      </c>
      <c r="N45" s="80" t="inlineStr">
        <is>
          <t>Not Started</t>
        </is>
      </c>
      <c r="O45" s="80" t="inlineStr"/>
      <c r="P45" s="80" t="inlineStr"/>
    </row>
    <row r="46">
      <c r="A46" s="77" t="n">
        <v>42</v>
      </c>
      <c r="B46" s="83" t="inlineStr">
        <is>
          <t>Low</t>
        </is>
      </c>
      <c r="C46" s="77" t="inlineStr">
        <is>
          <t>Mall Of The Emirates</t>
        </is>
      </c>
      <c r="D46" s="77" t="inlineStr">
        <is>
          <t>UAE</t>
        </is>
      </c>
      <c r="E46" s="77" t="n">
        <v>289</v>
      </c>
      <c r="F46" s="77" t="inlineStr">
        <is>
          <t>Accessibility</t>
        </is>
      </c>
      <c r="G46" s="77" t="inlineStr">
        <is>
          <t>Dubai · GLA 245,000 sqm · Opened 2005</t>
        </is>
      </c>
      <c r="H46" s="77" t="inlineStr">
        <is>
          <t>VOX Cinemas certified the GCC's first fully accessible cinema (Dubai Municipality Wosool, 6 Jul 2026).</t>
        </is>
      </c>
      <c r="I46" s="77" t="inlineStr">
        <is>
          <t>Add to the property notes.</t>
        </is>
      </c>
      <c r="J46" s="77" t="inlineStr">
        <is>
          <t>2026-07-07</t>
        </is>
      </c>
      <c r="K46" s="77" t="inlineStr">
        <is>
          <t>2026-07-07</t>
        </is>
      </c>
      <c r="L46" s="77" t="inlineStr">
        <is>
          <t>Zawya (press release); TradeArabia; Gulf Tech News; Zawya</t>
        </is>
      </c>
      <c r="M46" s="79" t="inlineStr">
        <is>
          <t>zawya.com</t>
        </is>
      </c>
      <c r="N46" s="80" t="inlineStr">
        <is>
          <t>Not Started</t>
        </is>
      </c>
      <c r="O46" s="80" t="inlineStr"/>
      <c r="P46" s="80" t="inlineStr"/>
    </row>
    <row r="47">
      <c r="A47" s="77" t="n">
        <v>43</v>
      </c>
      <c r="B47" s="83" t="inlineStr">
        <is>
          <t>Low</t>
        </is>
      </c>
      <c r="C47" s="77" t="inlineStr">
        <is>
          <t>Nad Al Sheba Mall</t>
        </is>
      </c>
      <c r="D47" s="77" t="inlineStr">
        <is>
          <t>UAE</t>
        </is>
      </c>
      <c r="E47" s="77" t="n">
        <v>266</v>
      </c>
      <c r="F47" s="77" t="inlineStr">
        <is>
          <t>Opening year</t>
        </is>
      </c>
      <c r="G47" s="77" t="inlineStr">
        <is>
          <t>Dubai · GLA 46,452 sqm · Opened 2025 · Multi-Category · Dubai Retail</t>
        </is>
      </c>
      <c r="H47" s="77" t="inlineStr">
        <is>
          <t>500,000 sq ft, 100+ outlets; opening reported in Jan 2026 (Tier-B source).</t>
        </is>
      </c>
      <c r="I47" s="77" t="inlineStr">
        <is>
          <t>Check 2025 vs 2026.</t>
        </is>
      </c>
      <c r="J47" s="77" t="inlineStr">
        <is>
          <t>2026-06-16</t>
        </is>
      </c>
      <c r="K47" s="77" t="inlineStr">
        <is>
          <t>2026-07-14</t>
        </is>
      </c>
      <c r="L47" s="77" t="inlineStr">
        <is>
          <t>Gulf News; Zawya / Dubai Holding; Zawya / WAM (Emirates News Agency)</t>
        </is>
      </c>
      <c r="M47" s="79" t="inlineStr">
        <is>
          <t>gulfnews.com</t>
        </is>
      </c>
      <c r="N47" s="80" t="inlineStr">
        <is>
          <t>Not Started</t>
        </is>
      </c>
      <c r="O47" s="80" t="inlineStr"/>
      <c r="P47" s="80" t="inlineStr"/>
    </row>
    <row r="48">
      <c r="A48" s="77" t="n">
        <v>44</v>
      </c>
      <c r="B48" s="83" t="inlineStr">
        <is>
          <t>Low</t>
        </is>
      </c>
      <c r="C48" s="77" t="inlineStr">
        <is>
          <t>Reem Mall</t>
        </is>
      </c>
      <c r="D48" s="77" t="inlineStr">
        <is>
          <t>UAE</t>
        </is>
      </c>
      <c r="E48" s="77" t="n">
        <v>262</v>
      </c>
      <c r="F48" s="77" t="inlineStr">
        <is>
          <t>Tenant</t>
        </is>
      </c>
      <c r="G48" s="77" t="inlineStr">
        <is>
          <t>Abu Dhabi · GLA 186,000 sqm · Opened 2023 · Entertainment Destination · Al Farwaniya Property Development</t>
        </is>
      </c>
      <c r="H48" s="77" t="inlineStr">
        <is>
          <t>Palmonas' first international store.</t>
        </is>
      </c>
      <c r="I48" s="77" t="inlineStr">
        <is>
          <t>Confirm with Reem Mall leasing.</t>
        </is>
      </c>
      <c r="J48" s="77" t="inlineStr">
        <is>
          <t>2026-07-16</t>
        </is>
      </c>
      <c r="K48" s="77" t="inlineStr">
        <is>
          <t>2026-07-16</t>
        </is>
      </c>
      <c r="L48" s="77" t="inlineStr">
        <is>
          <t>Biz Today; Biz Today — PR-sourced</t>
        </is>
      </c>
      <c r="M48" s="79" t="inlineStr">
        <is>
          <t>biztoday.news</t>
        </is>
      </c>
      <c r="N48" s="80" t="inlineStr">
        <is>
          <t>Not Started</t>
        </is>
      </c>
      <c r="O48" s="80" t="inlineStr"/>
      <c r="P48" s="80" t="inlineStr"/>
    </row>
    <row r="49">
      <c r="A49" s="77" t="n">
        <v>45</v>
      </c>
      <c r="B49" s="83" t="inlineStr">
        <is>
          <t>Low</t>
        </is>
      </c>
      <c r="C49" s="77" t="inlineStr">
        <is>
          <t>The Galleria Al Maryah Island</t>
        </is>
      </c>
      <c r="D49" s="77" t="inlineStr">
        <is>
          <t>UAE</t>
        </is>
      </c>
      <c r="E49" s="77" t="n">
        <v>289</v>
      </c>
      <c r="F49" s="77" t="inlineStr">
        <is>
          <t>Tenants</t>
        </is>
      </c>
      <c r="G49" s="77" t="inlineStr">
        <is>
          <t>Not printed — in the A–Z (p289) but dropped from the mixed-use pages; see 13 Book QA</t>
        </is>
      </c>
      <c r="H49" s="77" t="inlineStr">
        <is>
          <t>New: Skims, Guerlain, Parfums de Marly, Brass Monkey.</t>
        </is>
      </c>
      <c r="I49" s="77" t="inlineStr">
        <is>
          <t>Tenant note.</t>
        </is>
      </c>
      <c r="J49" s="77" t="inlineStr">
        <is>
          <t>2026-06-26</t>
        </is>
      </c>
      <c r="K49" s="77" t="inlineStr">
        <is>
          <t>2026-09-22</t>
        </is>
      </c>
      <c r="L49" s="77" t="inlineStr">
        <is>
          <t>The National; Zawya; What's On (Motivate Media Group); What's On</t>
        </is>
      </c>
      <c r="M49" s="79" t="inlineStr">
        <is>
          <t>whatson.ae</t>
        </is>
      </c>
      <c r="N49" s="80" t="inlineStr">
        <is>
          <t>Not Started</t>
        </is>
      </c>
      <c r="O49" s="80" t="inlineStr"/>
      <c r="P49" s="80" t="inlineStr"/>
    </row>
    <row r="51" ht="40" customHeight="1" s="72">
      <c r="B51" s="84" t="inlineStr">
        <is>
          <t>Change the master dataset, not the PDF: the book is regenerated from it. High-priority rows affect what prints (opening year, size, duplicates); low-priority rows are tenant notes for the digital listing.</t>
        </is>
      </c>
    </row>
  </sheetData>
  <autoFilter ref="A4:P49"/>
  <mergeCells count="3">
    <mergeCell ref="A1:F1"/>
    <mergeCell ref="B51:J51"/>
    <mergeCell ref="A2:J2"/>
  </mergeCells>
  <dataValidations count="2">
    <dataValidation sqref="B5:B89" showDropDown="0" showInputMessage="0" showErrorMessage="0" allowBlank="1" type="list">
      <formula1>"High,Medium,Low"</formula1>
    </dataValidation>
    <dataValidation sqref="N5:N89" showDropDown="0" showInputMessage="0" showErrorMessage="0" allowBlank="1" type="list">
      <formula1>"Not Started,Checking,Updated,No Change,Rejected"</formula1>
    </dataValidation>
  </dataValidations>
  <hyperlinks>
    <hyperlink xmlns:r="http://schemas.openxmlformats.org/officeDocument/2006/relationships" ref="M5" r:id="rId1"/>
    <hyperlink xmlns:r="http://schemas.openxmlformats.org/officeDocument/2006/relationships" ref="M6" r:id="rId2"/>
    <hyperlink xmlns:r="http://schemas.openxmlformats.org/officeDocument/2006/relationships" ref="M7" r:id="rId3"/>
    <hyperlink xmlns:r="http://schemas.openxmlformats.org/officeDocument/2006/relationships" ref="M8" r:id="rId4"/>
    <hyperlink xmlns:r="http://schemas.openxmlformats.org/officeDocument/2006/relationships" ref="M9" r:id="rId5"/>
    <hyperlink xmlns:r="http://schemas.openxmlformats.org/officeDocument/2006/relationships" ref="M10" r:id="rId6"/>
    <hyperlink xmlns:r="http://schemas.openxmlformats.org/officeDocument/2006/relationships" ref="M11" r:id="rId7"/>
    <hyperlink xmlns:r="http://schemas.openxmlformats.org/officeDocument/2006/relationships" ref="M12" r:id="rId8"/>
    <hyperlink xmlns:r="http://schemas.openxmlformats.org/officeDocument/2006/relationships" ref="M13" r:id="rId9"/>
    <hyperlink xmlns:r="http://schemas.openxmlformats.org/officeDocument/2006/relationships" ref="M14" r:id="rId10"/>
    <hyperlink xmlns:r="http://schemas.openxmlformats.org/officeDocument/2006/relationships" ref="M15" r:id="rId11"/>
    <hyperlink xmlns:r="http://schemas.openxmlformats.org/officeDocument/2006/relationships" ref="M16" r:id="rId12"/>
    <hyperlink xmlns:r="http://schemas.openxmlformats.org/officeDocument/2006/relationships" ref="M17" r:id="rId13"/>
    <hyperlink xmlns:r="http://schemas.openxmlformats.org/officeDocument/2006/relationships" ref="M18" r:id="rId14"/>
    <hyperlink xmlns:r="http://schemas.openxmlformats.org/officeDocument/2006/relationships" ref="M19" r:id="rId15"/>
    <hyperlink xmlns:r="http://schemas.openxmlformats.org/officeDocument/2006/relationships" ref="M20" r:id="rId16"/>
    <hyperlink xmlns:r="http://schemas.openxmlformats.org/officeDocument/2006/relationships" ref="M21" r:id="rId17"/>
    <hyperlink xmlns:r="http://schemas.openxmlformats.org/officeDocument/2006/relationships" ref="M22" r:id="rId18"/>
    <hyperlink xmlns:r="http://schemas.openxmlformats.org/officeDocument/2006/relationships" ref="M24" r:id="rId19"/>
    <hyperlink xmlns:r="http://schemas.openxmlformats.org/officeDocument/2006/relationships" ref="M25" r:id="rId20"/>
    <hyperlink xmlns:r="http://schemas.openxmlformats.org/officeDocument/2006/relationships" ref="M26" r:id="rId21"/>
    <hyperlink xmlns:r="http://schemas.openxmlformats.org/officeDocument/2006/relationships" ref="M27" r:id="rId22"/>
    <hyperlink xmlns:r="http://schemas.openxmlformats.org/officeDocument/2006/relationships" ref="M28" r:id="rId23"/>
    <hyperlink xmlns:r="http://schemas.openxmlformats.org/officeDocument/2006/relationships" ref="M29" r:id="rId24"/>
    <hyperlink xmlns:r="http://schemas.openxmlformats.org/officeDocument/2006/relationships" ref="M30" r:id="rId25"/>
    <hyperlink xmlns:r="http://schemas.openxmlformats.org/officeDocument/2006/relationships" ref="M31" r:id="rId26"/>
    <hyperlink xmlns:r="http://schemas.openxmlformats.org/officeDocument/2006/relationships" ref="M32" r:id="rId27"/>
    <hyperlink xmlns:r="http://schemas.openxmlformats.org/officeDocument/2006/relationships" ref="M33" r:id="rId28"/>
    <hyperlink xmlns:r="http://schemas.openxmlformats.org/officeDocument/2006/relationships" ref="M34" r:id="rId29"/>
    <hyperlink xmlns:r="http://schemas.openxmlformats.org/officeDocument/2006/relationships" ref="M35" r:id="rId30"/>
    <hyperlink xmlns:r="http://schemas.openxmlformats.org/officeDocument/2006/relationships" ref="M36" r:id="rId31"/>
    <hyperlink xmlns:r="http://schemas.openxmlformats.org/officeDocument/2006/relationships" ref="M37" r:id="rId32"/>
    <hyperlink xmlns:r="http://schemas.openxmlformats.org/officeDocument/2006/relationships" ref="M38" r:id="rId33"/>
    <hyperlink xmlns:r="http://schemas.openxmlformats.org/officeDocument/2006/relationships" ref="M40" r:id="rId34"/>
    <hyperlink xmlns:r="http://schemas.openxmlformats.org/officeDocument/2006/relationships" ref="M41" r:id="rId35"/>
    <hyperlink xmlns:r="http://schemas.openxmlformats.org/officeDocument/2006/relationships" ref="M42" r:id="rId36"/>
    <hyperlink xmlns:r="http://schemas.openxmlformats.org/officeDocument/2006/relationships" ref="M43" r:id="rId37"/>
    <hyperlink xmlns:r="http://schemas.openxmlformats.org/officeDocument/2006/relationships" ref="M44" r:id="rId38"/>
    <hyperlink xmlns:r="http://schemas.openxmlformats.org/officeDocument/2006/relationships" ref="M45" r:id="rId39"/>
    <hyperlink xmlns:r="http://schemas.openxmlformats.org/officeDocument/2006/relationships" ref="M46" r:id="rId40"/>
    <hyperlink xmlns:r="http://schemas.openxmlformats.org/officeDocument/2006/relationships" ref="M47" r:id="rId41"/>
    <hyperlink xmlns:r="http://schemas.openxmlformats.org/officeDocument/2006/relationships" ref="M48" r:id="rId42"/>
    <hyperlink xmlns:r="http://schemas.openxmlformats.org/officeDocument/2006/relationships" ref="M49" r:id="rId43"/>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N20"/>
  <sheetViews>
    <sheetView zoomScale="9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5" customWidth="1" style="72" min="1" max="1"/>
    <col width="30" customWidth="1" style="72" min="2" max="2"/>
    <col width="48" customWidth="1" style="72" min="3" max="3"/>
    <col width="30" customWidth="1" style="72" min="4" max="4"/>
    <col width="18" customWidth="1" style="72" min="5" max="5"/>
    <col width="62" customWidth="1" style="72" min="6" max="6"/>
    <col width="32" customWidth="1" style="72" min="7" max="7"/>
    <col width="26" customWidth="1" style="72" min="8" max="8"/>
    <col width="34" customWidth="1" style="72" min="9" max="9"/>
    <col width="26" customWidth="1" style="72" min="10" max="10"/>
    <col width="40" customWidth="1" style="72" min="11" max="11"/>
    <col width="13" customWidth="1" style="72" min="12" max="12"/>
    <col width="14" customWidth="1" style="72" min="13" max="13"/>
    <col width="30" customWidth="1" style="72" min="14" max="14"/>
  </cols>
  <sheetData>
    <row r="1" ht="17.65" customHeight="1" s="72">
      <c r="A1" s="73" t="inlineStr">
        <is>
          <t>12 · INTEL — ARTICLE IDEAS</t>
        </is>
      </c>
    </row>
    <row r="2" ht="30" customHeight="1" s="72">
      <c r="A2" s="76" t="inlineStr">
        <is>
          <t>14 article ideas drawn from the intel reports, each with the angle, where it fits in the 2027 book or Retail People Magazine, the facts to build on and the coverage to cite.</t>
        </is>
      </c>
    </row>
    <row r="4" ht="32" customHeight="1" s="72">
      <c r="A4" s="6" t="inlineStr">
        <is>
          <t>SN</t>
        </is>
      </c>
      <c r="B4" s="6" t="inlineStr">
        <is>
          <t>WORKING HEADLINE</t>
        </is>
      </c>
      <c r="C4" s="6" t="inlineStr">
        <is>
          <t>ANGLE</t>
        </is>
      </c>
      <c r="D4" s="6" t="inlineStr">
        <is>
          <t>WHERE IT FITS</t>
        </is>
      </c>
      <c r="E4" s="6" t="inlineStr">
        <is>
          <t>MARKETS</t>
        </is>
      </c>
      <c r="F4" s="6" t="inlineStr">
        <is>
          <t>KEY FACTS FROM THE INTEL</t>
        </is>
      </c>
      <c r="G4" s="6" t="inlineStr">
        <is>
          <t>SPONSOR / MEMBER FIT</t>
        </is>
      </c>
      <c r="H4" s="6" t="inlineStr">
        <is>
          <t>CAUTION</t>
        </is>
      </c>
      <c r="I4" s="6" t="inlineStr">
        <is>
          <t>SOURCES</t>
        </is>
      </c>
      <c r="J4" s="6" t="inlineStr">
        <is>
          <t>MAIN LINK</t>
        </is>
      </c>
      <c r="K4" s="6" t="inlineStr">
        <is>
          <t>MORE LINKS</t>
        </is>
      </c>
      <c r="L4" s="7" t="inlineStr">
        <is>
          <t>STATUS</t>
        </is>
      </c>
      <c r="M4" s="7" t="inlineStr">
        <is>
          <t>WRITER</t>
        </is>
      </c>
      <c r="N4" s="7" t="inlineStr">
        <is>
          <t>NOTES</t>
        </is>
      </c>
    </row>
    <row r="5">
      <c r="A5" s="77" t="n">
        <v>1</v>
      </c>
      <c r="B5" s="77" t="inlineStr">
        <is>
          <t>The Westfield decade begins</t>
        </is>
      </c>
      <c r="C5" s="77" t="inlineStr">
        <is>
          <t>Westfield Jeddah is trading and Westfield Riyadh follows in Q4 2026. What a global operating brand changes for Saudi landlords, tenants and shoppers.</t>
        </is>
      </c>
      <c r="D5" s="77" t="inlineStr">
        <is>
          <t>Must-Visit — Saudi Arabia (p72) sidebar · RPM feature</t>
        </is>
      </c>
      <c r="E5" s="77" t="inlineStr">
        <is>
          <t>Saudi Arabia</t>
        </is>
      </c>
      <c r="F5" s="77" t="inlineStr">
        <is>
          <t>Westfield Jeddah operational 30 Jul 2026, ~96% pre-let, 104,000 sqm GLA, 20,000 sqm luxury precinct, ~SAR 350m EBITDA expected at stabilisation · Westfield Riyadh: SAR 2.7bn Murabaha, opening Q4 2026, MBC studios inside · BackLite KSA screens across four Cenomi centres · Westfield Dammam is the former Nakheel Dammam Mall</t>
        </is>
      </c>
      <c r="G5" s="77" t="inlineStr">
        <is>
          <t>Cenomi Centers (Diamond). Cenomi's own Expert View (pp 38–39) covers the operator view — keep this one independent.</t>
        </is>
      </c>
      <c r="H5" s="77" t="inlineStr">
        <is>
          <t>Don't duplicate the Expert View.</t>
        </is>
      </c>
      <c r="I5" s="77" t="inlineStr">
        <is>
          <t>Argaam · 04 Aug 2026; Sahm Capital · 16 Jul 2026; Advanced Television · 29 Jun 2026; Zawya · 3 Jul 2026</t>
        </is>
      </c>
      <c r="J5" s="79" t="inlineStr">
        <is>
          <t>argaam.com</t>
        </is>
      </c>
      <c r="K5" s="77" t="inlineStr">
        <is>
          <t>https://www.sahmcapital.com/news/content/cenomi-centers-secures-sar-27b-facility-for-westfield-riyadh-2026-07-16
https://www.advanced-television.com/2026/06/29/mbc-group-cenomi-centers-launch-live-media-experience-at-westfield-riyadh/
https://www.zawya.com/en/press-release/companies-news/multiply-media-group-expands-into-saudi-arabia-through-strategic-partnership-with-cenomi-centers-ow7rhyw5</t>
        </is>
      </c>
      <c r="L5" s="80" t="inlineStr">
        <is>
          <t>Idea</t>
        </is>
      </c>
      <c r="M5" s="80" t="inlineStr"/>
      <c r="N5" s="80" t="inlineStr"/>
    </row>
    <row r="6">
      <c r="A6" s="77" t="n">
        <v>2</v>
      </c>
      <c r="B6" s="77" t="inlineStr">
        <is>
          <t>Riyadh adds a quarter to its mall space</t>
        </is>
      </c>
      <c r="C6" s="77" t="inlineStr">
        <is>
          <t>Knight Frank expects Riyadh's retail space to grow 28% to 4.6m sqm. Who is building it, how it is financed, and whether demand keeps up.</t>
        </is>
      </c>
      <c r="D6" s="77" t="inlineStr">
        <is>
          <t>Front of book — What's New in 2027 (p5) · data feature</t>
        </is>
      </c>
      <c r="E6" s="77" t="inlineStr">
        <is>
          <t>Saudi Arabia</t>
        </is>
      </c>
      <c r="F6" s="77" t="inlineStr">
        <is>
          <t>Riyadh retail space +28% to 4.6m sqm (Knight Frank) · Q1 2026 consumer spending +6.8% to SAR 425bn; e-commerce +42% to SAR 98.4bn; Riyadh mall occupancy 91% · GASTAT Q2: trade revenue index +3.2%, retail e-sales +13.4% · Pipeline: The Avenues–Riyadh (~370,000 sqm GLA), Westfield Riyadh, Al Khobar Downtown (SAR 1.33bn), Al Othaim Park Dammam (64% built)</t>
        </is>
      </c>
      <c r="G6" s="77" t="inlineStr">
        <is>
          <t>Al Othaim, Unified (Diamond); Red Sea Malls, KEC (Platinum). Saudi Arabia has no Country Profile page — this fills the gap.</t>
        </is>
      </c>
      <c r="H6" s="77" t="inlineStr">
        <is>
          <t>Knight Frank's 28% figure is a forecast; date it.</t>
        </is>
      </c>
      <c r="I6" s="77" t="inlineStr">
        <is>
          <t>Gulf News (Knight Frank) · 2026 (day unverified); Construction Business News ME · 5 Aug 2026; GASTAT (stats.gov.sa) · 30 Aug 2026; Zawya · Nov 2025</t>
        </is>
      </c>
      <c r="J6" s="79" t="inlineStr">
        <is>
          <t>gulfnews.com</t>
        </is>
      </c>
      <c r="K6" s="77" t="inlineStr">
        <is>
          <t>https://www.cbnme.com/news/saudi-retail-and-fb-sector-maintains-strong-growth-in-h1-2026-according-to-knight-frank/
https://www.stats.gov.sa/en/w/news/212
https://www.zawya.com/en/projects/construction/kuwaits-mabanee-upsizes-financing-for-the-avenues-riyadh-project-by-16bln-yrz9hh3n</t>
        </is>
      </c>
      <c r="L6" s="80" t="inlineStr">
        <is>
          <t>Idea</t>
        </is>
      </c>
      <c r="M6" s="80" t="inlineStr"/>
      <c r="N6" s="80" t="inlineStr"/>
    </row>
    <row r="7">
      <c r="A7" s="77" t="n">
        <v>3</v>
      </c>
      <c r="B7" s="77" t="inlineStr">
        <is>
          <t>Dubai's neighbourhood-mall wave</t>
        </is>
      </c>
      <c r="C7" s="77" t="inlineStr">
        <is>
          <t>Seven UAE malls open in 2026, most of them supermarket-anchored community centres. Why the small formats are fully leased while big malls compete for tenants.</t>
        </is>
      </c>
      <c r="D7" s="77" t="inlineStr">
        <is>
          <t>Must-Visit — UAE (p71) sidebar · Country Profile — UAE (pp 64–65)</t>
        </is>
      </c>
      <c r="E7" s="77" t="inlineStr">
        <is>
          <t>UAE</t>
        </is>
      </c>
      <c r="F7" s="77" t="inlineStr">
        <is>
          <t>The Grand (Nad Al Sheba Gardens) opened 19 Aug 2026 fully leased, Waitrose-anchored, 35 outlets · Sobha Hartland community mall (AED 210m, 35 outlets), Le Meryeme and The Villa (KeyMavens), South Bay Mall (~200,000 sq ft, 60 outlets) due 2026 · The Yard, Palm Jebel Ali (26 concepts) for 2027</t>
        </is>
      </c>
      <c r="G7" s="77" t="inlineStr">
        <is>
          <t>Ties to the S2–S3 scale bands on the Data Notes page (p79).</t>
        </is>
      </c>
      <c r="H7" s="77" t="inlineStr">
        <is>
          <t>Sizes are a mix of BUA and GLA — label them.</t>
        </is>
      </c>
      <c r="I7" s="77" t="inlineStr">
        <is>
          <t>Zawya (Shamal Holding release) · Jul 2026; What's On Dubai · 03 Aug 2026; Gulf News · 10 Sep 2026; Gulf News · 8 Jan 2026</t>
        </is>
      </c>
      <c r="J7" s="79" t="inlineStr">
        <is>
          <t>zawya.com</t>
        </is>
      </c>
      <c r="K7" s="77" t="inlineStr">
        <is>
          <t>https://whatson.ae/2026/08/the-grand-inside-dubais-newest-mall/
https://gulfnews.com/business/property/palm-jebel-alis-first-retail-hub-revealed-with-26-new-concepts-1.500669544
https://gulfnews.com/business/retail/7-new-uae-malls-opening-in-2026-maps-dates-highlights-unveiled-1.500401112</t>
        </is>
      </c>
      <c r="L7" s="80" t="inlineStr">
        <is>
          <t>Idea</t>
        </is>
      </c>
      <c r="M7" s="80" t="inlineStr"/>
      <c r="N7" s="80" t="inlineStr"/>
    </row>
    <row r="8">
      <c r="A8" s="77" t="n">
        <v>4</v>
      </c>
      <c r="B8" s="77" t="inlineStr">
        <is>
          <t>From bazaar to mall: Central Asia's retail reset</t>
        </is>
      </c>
      <c r="C8" s="77" t="inlineStr">
        <is>
          <t>Tashkent is auctioning 35 markets for redevelopment, Bishkek is replacing the Osh Bazaar and Astana gets a tropical-garden mall. The region's move from bazaars to managed centres.</t>
        </is>
      </c>
      <c r="D8" s="77" t="inlineStr">
        <is>
          <t>Country Profile — Kazakhstan (pp 60–61) · RPM feature</t>
        </is>
      </c>
      <c r="E8" s="77" t="inlineStr">
        <is>
          <t>Uzbekistan, Kyrgyzstan, Kazakhstan, Azerbaijan</t>
        </is>
      </c>
      <c r="F8" s="77" t="inlineStr">
        <is>
          <t>Tashkent: 478,500 sqm of new GLA in 2024 (3.5× 2019); 35 markets to be privatised by auction · Bishkek: New Osh Bazaar (155,000 sqm, 10,000+ units) and Bishkek Arena Mall · Astana: MEGA Garden (130,000 sqm, Dec 2027) · Kazakhstan trade investment +22.3% in H1 2026 · Azerbaijan retail turnover +3.9% real, Jan–Aug</t>
        </is>
      </c>
      <c r="G8" s="77" t="inlineStr">
        <is>
          <t>Country Profiles cover Kazakhstan; Uzbekistan and Kyrgyzstan have listings but no profile.</t>
        </is>
      </c>
      <c r="H8" s="77" t="inlineStr">
        <is>
          <t>Several sources are local-language; translate figures carefully.</t>
        </is>
      </c>
      <c r="I8" s="77" t="inlineStr">
        <is>
          <t>CMWP Uzbekistan — date unverified; Kun.uz · 30 Jul 2026; AKIpress · 10 Jul 2026; Forbes Kazakhstan · 11 Mar 2026; Kursiv Media (Kazakhstan) · 21 Aug 2026</t>
        </is>
      </c>
      <c r="J8" s="79" t="inlineStr">
        <is>
          <t>cmwp.uz</t>
        </is>
      </c>
      <c r="K8" s="77" t="inlineStr">
        <is>
          <t>https://kun.uz/en/news/2026/07/30/tashkent-to-privatize-35-markets-and-shopping-complexes
https://akipress.com/news:906821
https://forbes.kz/articles/novyy-proekt-nurlana-smagulova-v-astane-otkroetsya-trts-s-tropicheskim-sadom-df5529</t>
        </is>
      </c>
      <c r="L8" s="80" t="inlineStr">
        <is>
          <t>Idea</t>
        </is>
      </c>
      <c r="M8" s="80" t="inlineStr"/>
      <c r="N8" s="80" t="inlineStr"/>
    </row>
    <row r="9">
      <c r="A9" s="77" t="n">
        <v>5</v>
      </c>
      <c r="B9" s="77" t="inlineStr">
        <is>
          <t>North Africa's megamall moment</t>
        </is>
      </c>
      <c r="C9" s="77" t="inlineStr">
        <is>
          <t>Libya and Algeria opened their largest malls this year while Morocco's Marrakech scheme chose to wait. Opening fast versus opening full.</t>
        </is>
      </c>
      <c r="D9" s="77" t="inlineStr">
        <is>
          <t>Country Profile — Tunisia (pp 64–65) sidebar · RPM feature</t>
        </is>
      </c>
      <c r="E9" s="77" t="inlineStr">
        <is>
          <t>Libya, Algeria, Morocco, Tunisia</t>
        </is>
      </c>
      <c r="F9" s="77" t="inlineStr">
        <is>
          <t>First Mall, Tripoli: 136,000 sqm, 220+ outlets, opened 26 Jun 2026 after 15+ years · AZ Mall Grand Mosta: Algeria's largest, DZD 8bn+ · Morocco Mall Marrakech: 130,000+ sqm, delayed to spring 2027 for pre-leasing · Tunis Garden City to break ground with Zara, Mango, Massimo Dutti, Celio franchisees</t>
        </is>
      </c>
      <c r="G9" s="77" t="inlineStr">
        <is>
          <t>Adds four new listings to thin country sections (Libya has 5).</t>
        </is>
      </c>
      <c r="H9" s="77" t="inlineStr">
        <is>
          <t>Algeria figures come from one agency release.</t>
        </is>
      </c>
      <c r="I9" s="77" t="inlineStr">
        <is>
          <t>Libya Herald · 27 Jun 2026 (event: 26 Jun); Challenge.ma (Rachid Boutaleb) · 22 Apr 2026; Sagaci Research · date unverified — credibility acceptable, cross-reference recommended; Algérie Presse Service (APS, official state news agency) · 26 Jul 2026</t>
        </is>
      </c>
      <c r="J9" s="79" t="inlineStr">
        <is>
          <t>libyaherald.com</t>
        </is>
      </c>
      <c r="K9" s="77" t="inlineStr">
        <is>
          <t>https://www.challenge.ma/morocco-mall-marrakech-une-inauguration-repoussee-a-2027-319369/
https://sagaciresearch.com/one-tunisian-mall-nears-completion-while-another-will-break-ground-soon/
https://www.aps.dz/fr/algerie/developpement/ms27hk9h-ouverture-du-plus-grand-centre-commercial-au-niveau-national</t>
        </is>
      </c>
      <c r="L9" s="80" t="inlineStr">
        <is>
          <t>Idea</t>
        </is>
      </c>
      <c r="M9" s="80" t="inlineStr"/>
      <c r="N9" s="80" t="inlineStr"/>
    </row>
    <row r="10">
      <c r="A10" s="77" t="n">
        <v>6</v>
      </c>
      <c r="B10" s="77" t="inlineStr">
        <is>
          <t>Primark's Gulf rollout, mall by mall</t>
        </is>
      </c>
      <c r="C10" s="77" t="inlineStr">
        <is>
          <t>Primark arrived in Kuwait, then Dubai, and reaches Qatar and Bahrain by the end of 2026. What a value anchor does to a mall's tenant mix and footfall.</t>
        </is>
      </c>
      <c r="D10" s="77" t="inlineStr">
        <is>
          <t>RPM feature · Country Profile — Kuwait (pp 60–61) sidebar</t>
        </is>
      </c>
      <c r="E10" s="77" t="inlineStr">
        <is>
          <t>UAE, Kuwait, Qatar, Bahrain</t>
        </is>
      </c>
      <c r="F10" s="77" t="inlineStr">
        <is>
          <t>UAE: The Dubai Mall (26 Mar 2026, 60,000+ sq ft), City Centre Mirdif (9 Apr), Mall of the Emirates · Kuwait: The Avenues (Oct 2025) and Aventura (Alshaya, 20+ stores) · Qatar: Doha Festival City (QR400m transformation; opening 29 Oct 2026) · Bahrain: City Centre Bahrain (23 Sep 2026)</t>
        </is>
      </c>
      <c r="G10" s="77" t="inlineStr">
        <is>
          <t>Landlords include MAF (member) and Al-Futtaim.</t>
        </is>
      </c>
      <c r="H10" s="77" t="inlineStr"/>
      <c r="I10" s="77" t="inlineStr">
        <is>
          <t>Arabian Business · Mar 2026; Gulf Business · 2026 (date unverified); Zawya (Alshaya press release) · 13 May 2026; Zawya · 2 Aug 2026</t>
        </is>
      </c>
      <c r="J10" s="79" t="inlineStr">
        <is>
          <t>arabianbusiness.com</t>
        </is>
      </c>
      <c r="K10" s="77" t="inlineStr">
        <is>
          <t>https://gulfbusiness.com/primark-qatar-bahrain-stores/
https://www.zawya.com/en/press-release/companies-news/alshaya-group-signs-agreement-with-mabanee-to-open-h-and-m-primark-ulta-beauty-and-over-20-more-stores-at-aventura-mall-abxq0khf
https://www.zawya.com/en/press-release/companies-news/doha-festival-city-announces-mall-wide-transformation-programme-worth-up-to-qar-400mln-417946</t>
        </is>
      </c>
      <c r="L10" s="80" t="inlineStr">
        <is>
          <t>Idea</t>
        </is>
      </c>
      <c r="M10" s="80" t="inlineStr"/>
      <c r="N10" s="80" t="inlineStr"/>
    </row>
    <row r="11">
      <c r="A11" s="77" t="n">
        <v>7</v>
      </c>
      <c r="B11" s="77" t="inlineStr">
        <is>
          <t>Beyond rent: the mall's second revenue line</t>
        </is>
      </c>
      <c r="C11" s="77" t="inlineStr">
        <is>
          <t>BCG says GCC malls must rethink revenue as AI agents start choosing for shoppers. Retail media, data and services are where landlords are looking.</t>
        </is>
      </c>
      <c r="D11" s="77" t="inlineStr">
        <is>
          <t>RPM feature · digital edition</t>
        </is>
      </c>
      <c r="E11" s="77" t="inlineStr">
        <is>
          <t>GCC</t>
        </is>
      </c>
      <c r="F11" s="77" t="inlineStr">
        <is>
          <t>BCG 'Imagining the Future of Retail: Beyond Space' (22 Jun 2026) · MAF Precision Media retail-media platform and the MAF–Visa AI-commerce paper · Max Fashion × Google Cloud virtual try-on · Chalhoub's Layla assistant (2.5× conversions) · Saudi Arabia's 2026 Year of AI and SDAIA data guidelines</t>
        </is>
      </c>
      <c r="G11" s="77" t="inlineStr">
        <is>
          <t>Yardi and MRI Expert Views (pp 48–51) make the systems case; Eleva AI is a support partner.</t>
        </is>
      </c>
      <c r="H11" s="77" t="inlineStr">
        <is>
          <t>Vendor claims (e.g. 2.5×) are the vendors' own figures.</t>
        </is>
      </c>
      <c r="I11" s="77" t="inlineStr">
        <is>
          <t>Gulf News · 22 Jun 2026; Zawya · 30 Apr 2026; Zawya · 11 Jun 2026; Arab News · Mar 2026</t>
        </is>
      </c>
      <c r="J11" s="79" t="inlineStr">
        <is>
          <t>gulfnews.com</t>
        </is>
      </c>
      <c r="K11" s="77" t="inlineStr">
        <is>
          <t>https://www.tradingview.com/news/reuters.com,2026-04-30:newsml_Zaw9qglTV:0-zawya-majid-al-futtaim-and-visa-launch-paper-on-engineering-trust-into-the-future-of-digital-commercewhite/
https://www.zawya.com/en/press-release/companies-news/max-and-google-cloud-ignite-a-new-era-of-ai-retail-giyumvqm
https://www.arabnews.com/node/2636061/amp</t>
        </is>
      </c>
      <c r="L11" s="80" t="inlineStr">
        <is>
          <t>Idea</t>
        </is>
      </c>
      <c r="M11" s="80" t="inlineStr"/>
      <c r="N11" s="80" t="inlineStr"/>
    </row>
    <row r="12">
      <c r="A12" s="77" t="n">
        <v>8</v>
      </c>
      <c r="B12" s="77" t="inlineStr">
        <is>
          <t>The mall as a media channel</t>
        </is>
      </c>
      <c r="C12" s="77" t="inlineStr">
        <is>
          <t>TV studios inside Westfield Riyadh, 80+ digital screens across Cenomi centres and a World Cup broadcast plaza in Muscat. Malls are selling attention as well as space.</t>
        </is>
      </c>
      <c r="D12" s="77" t="inlineStr">
        <is>
          <t>RPM feature · digital edition</t>
        </is>
      </c>
      <c r="E12" s="77" t="inlineStr">
        <is>
          <t>Saudi Arabia, Oman, UAE</t>
        </is>
      </c>
      <c r="F12" s="77" t="inlineStr">
        <is>
          <t>MBC Group studios at Westfield Riyadh · Multiply Media Group's BackLite KSA (80+ screens) · Mall of Muscat FIFA World Cup plaza with beIN Sports · Sharjah Summer Promotions across the emirate's malls</t>
        </is>
      </c>
      <c r="G12" s="77" t="inlineStr">
        <is>
          <t>Cenomi (Diamond).</t>
        </is>
      </c>
      <c r="H12" s="77" t="inlineStr"/>
      <c r="I12" s="77" t="inlineStr">
        <is>
          <t>Advanced Television · 29 Jun 2026; Zawya · 3 Jul 2026; Zawya (government press release) · 5 Jul 2026</t>
        </is>
      </c>
      <c r="J12" s="79" t="inlineStr">
        <is>
          <t>advanced-television.com</t>
        </is>
      </c>
      <c r="K12" s="77" t="inlineStr">
        <is>
          <t>https://www.zawya.com/en/press-release/companies-news/multiply-media-group-expands-into-saudi-arabia-through-strategic-partnership-with-cenomi-centers-ow7rhyw5
https://www.zawya.com/en/press-release/government-news/sharjah-summer-promotions-2026-attracts-strong-visitor-turnout-with-massive-discounts-700-valuable-prizes-f1hsi9uz</t>
        </is>
      </c>
      <c r="L12" s="80" t="inlineStr">
        <is>
          <t>Idea</t>
        </is>
      </c>
      <c r="M12" s="80" t="inlineStr"/>
      <c r="N12" s="80" t="inlineStr"/>
    </row>
    <row r="13">
      <c r="A13" s="77" t="n">
        <v>9</v>
      </c>
      <c r="B13" s="77" t="inlineStr">
        <is>
          <t>Trading through turbulence</t>
        </is>
      </c>
      <c r="C13" s="77" t="inlineStr">
        <is>
          <t>The July escalation hit hotels and sentiment, but mall occupancy held. What the numbers say about how Gulf retail property absorbed the shock.</t>
        </is>
      </c>
      <c r="D13" s="77" t="inlineStr">
        <is>
          <t>Front of book — What's New in 2027 (p5) · RPM</t>
        </is>
      </c>
      <c r="E13" s="77" t="inlineStr">
        <is>
          <t>GCC</t>
        </is>
      </c>
      <c r="F13" s="77" t="inlineStr">
        <is>
          <t>UAE non-oil PMI 50.8 in June, weakest in five years · Mabanee Q2 profit −8%: hospitality gross profit −78%, malls flat, The Avenues 98% occupied · Aventura opening slipped Aug→Oct 2026 · Bain sees early luxury recovery in Q2 · MAF reports a rapid recovery and reaffirms an AED100bn pipeline</t>
        </is>
      </c>
      <c r="G13" s="77" t="inlineStr">
        <is>
          <t>Mabanee and MAF are members.</t>
        </is>
      </c>
      <c r="H13" s="77" t="inlineStr">
        <is>
          <t>Sensitive. Stick to published figures; no speculation on security.</t>
        </is>
      </c>
      <c r="I13" s="77" t="inlineStr">
        <is>
          <t>The National · 3 Jul 2026; AGBI · 03 Aug 2026; Zawya (Reuters syndication) · c. 16 Jul 2026 — date unverified; CNBC · 19 Sep 2026</t>
        </is>
      </c>
      <c r="J13" s="79" t="inlineStr">
        <is>
          <t>thenationalnews.com</t>
        </is>
      </c>
      <c r="K13" s="77" t="inlineStr">
        <is>
          <t>https://www.agbi.com/real-estate/2026/08/developer-mabanees-profits-slide-as-war-hurts-kuwait-hotels/
https://www.zawya.com/en/business/retail-and-consumer/luxury-market-shows-early-signs-of-recovery-in-q2-despite-middle-east-war-bain-says-rrbd0vv4
https://www.cnbc.com/video/2026/09/19/majid-al-futtaim-managing-middle-east.html</t>
        </is>
      </c>
      <c r="L13" s="80" t="inlineStr">
        <is>
          <t>Idea</t>
        </is>
      </c>
      <c r="M13" s="80" t="inlineStr"/>
      <c r="N13" s="80" t="inlineStr"/>
    </row>
    <row r="14">
      <c r="A14" s="77" t="n">
        <v>10</v>
      </c>
      <c r="B14" s="77" t="inlineStr">
        <is>
          <t>Türkiye: growing on paper</t>
        </is>
      </c>
      <c r="C14" s="77" t="inlineStr">
        <is>
          <t>Mall turnover rose 25% in a year — and fell in real terms. How Turkish landlords read performance when inflation runs above 30%.</t>
        </is>
      </c>
      <c r="D14" s="77" t="inlineStr">
        <is>
          <t>Country Profile — Türkiye (pp 64–65) sidebar</t>
        </is>
      </c>
      <c r="E14" s="77" t="inlineStr">
        <is>
          <t>Türkiye</t>
        </is>
      </c>
      <c r="F14" s="77" t="inlineStr">
        <is>
          <t>AYD/Akademetre productivity index +25.2% YoY in Jul 2026 (5,169 points) against 31.75% inflation · Istanbul: 93 operating AVMs, 22 projects under way · five new AVMs (~212,000 sqm) due in 2026 · Koru Florya opened 30 Aug with 220+ brands</t>
        </is>
      </c>
      <c r="G14" s="77" t="inlineStr">
        <is>
          <t>Türkiye is the third-largest listing section (127 properties).</t>
        </is>
      </c>
      <c r="H14" s="77" t="inlineStr"/>
      <c r="I14" s="77" t="inlineStr">
        <is>
          <t>Mall Report · 27 Aug 2026; Anadolu Agency via Malatya Söz · 30 Jul 2025; Mall Report · 31 Aug 2026; Emlakkulisi.com · 2 Sep 2026</t>
        </is>
      </c>
      <c r="J14" s="79" t="inlineStr">
        <is>
          <t>mallreport.com.tr</t>
        </is>
      </c>
      <c r="K14" s="77" t="inlineStr">
        <is>
          <t>https://www.malatyasoz.com/turkiyede-2026-sonuna-kadar-7-yeni-avm-acilacak
https://mallreport.com.tr/2026/08/31/koru-florya-avm-kapilarini-acti/
https://emlakkulisi.com/guncel/istanbul-yeni-avm-projeleri/1084036</t>
        </is>
      </c>
      <c r="L14" s="80" t="inlineStr">
        <is>
          <t>Idea</t>
        </is>
      </c>
      <c r="M14" s="80" t="inlineStr"/>
      <c r="N14" s="80" t="inlineStr"/>
    </row>
    <row r="15">
      <c r="A15" s="77" t="n">
        <v>11</v>
      </c>
      <c r="B15" s="77" t="inlineStr">
        <is>
          <t>REITs come to Gulf and African retail</t>
        </is>
      </c>
      <c r="C15" s="77" t="inlineStr">
        <is>
          <t>Qatar's first listed REIT and Nigeria's largest REIT listing show mall owners a new exit route.</t>
        </is>
      </c>
      <c r="D15" s="77" t="inlineStr">
        <is>
          <t>RPM finance column · Country Profile — Nigeria (pp 62–63) sidebar</t>
        </is>
      </c>
      <c r="E15" s="77" t="inlineStr">
        <is>
          <t>Qatar, Nigeria</t>
        </is>
      </c>
      <c r="F15" s="77" t="inlineStr">
        <is>
          <t>HMK Capital completed a QR1.8bn acquisition of 51 properties to seed Salwa REIT (Aug 2026) · Chapel Hill Denham's N163.6bn NREIT listed on NGX · Fitch moved Cenomi Centers to Stable, 'BB'</t>
        </is>
      </c>
      <c r="G15" s="77" t="inlineStr"/>
      <c r="H15" s="77" t="inlineStr">
        <is>
          <t>Salwa REIT is not yet listed — check its status before print.</t>
        </is>
      </c>
      <c r="I15" s="77" t="inlineStr">
        <is>
          <t>Qatar Tribune · 25/26 Aug 2026; ThisDayLive · 1 Jan 2026; Maaal English (Fitch Ratings) · 9 Jul 2026</t>
        </is>
      </c>
      <c r="J15" s="79" t="inlineStr">
        <is>
          <t>qatar-tribune.com</t>
        </is>
      </c>
      <c r="K15" s="77" t="inlineStr">
        <is>
          <t>https://www.thisdaylive.com/2026/01/01/ngx-admits-chapel-hill-denhams-n163-6bn-nreit/
https://maaal.com/en/news/details/fitch-revises-cenomi-cent/</t>
        </is>
      </c>
      <c r="L15" s="80" t="inlineStr">
        <is>
          <t>Idea</t>
        </is>
      </c>
      <c r="M15" s="80" t="inlineStr"/>
      <c r="N15" s="80" t="inlineStr"/>
    </row>
    <row r="16">
      <c r="A16" s="77" t="n">
        <v>12</v>
      </c>
      <c r="B16" s="77" t="inlineStr">
        <is>
          <t>Coming soon: the 2027 pipeline board</t>
        </is>
      </c>
      <c r="C16" s="77" t="inlineStr">
        <is>
          <t>Every centre due to open by the end of 2027, with its status and how sure we are of the date — built from the intel tracker.</t>
        </is>
      </c>
      <c r="D16" s="77" t="inlineStr">
        <is>
          <t>Front of book — new data page, or the digital edition's live pipeline board</t>
        </is>
      </c>
      <c r="E16" s="77" t="inlineStr">
        <is>
          <t>All</t>
        </is>
      </c>
      <c r="F16" s="77" t="inlineStr">
        <is>
          <t>From sheet 10: 7 to add now, 17 in the pipeline, 10 to check first and 26 to watch · delays logged for Aventura (Aug→Oct 2026), Morocco Mall Marrakech (to spring 2027), Westfield Riyadh (to Q4 2026)</t>
        </is>
      </c>
      <c r="G16" s="77" t="inlineStr">
        <is>
          <t>Shows the directory as a live intelligence product; links each item to its listing.</t>
        </is>
      </c>
      <c r="H16" s="77" t="inlineStr">
        <is>
          <t>Print only dates confirmed by the developer.</t>
        </is>
      </c>
      <c r="I16" s="77" t="inlineStr">
        <is>
          <t>AGBI · 03 Aug 2026; Challenge.ma (Rachid Boutaleb) · 22 Apr 2026; Maaal · 14 Jun 2026</t>
        </is>
      </c>
      <c r="J16" s="79" t="inlineStr">
        <is>
          <t>agbi.com</t>
        </is>
      </c>
      <c r="K16" s="77" t="inlineStr">
        <is>
          <t>https://www.challenge.ma/morocco-mall-marrakech-une-inauguration-repoussee-a-2027-319369/
https://maaal.com/en/news/details/al-othaim-park-surpasses/</t>
        </is>
      </c>
      <c r="L16" s="80" t="inlineStr">
        <is>
          <t>Idea</t>
        </is>
      </c>
      <c r="M16" s="80" t="inlineStr"/>
      <c r="N16" s="80" t="inlineStr"/>
    </row>
    <row r="17">
      <c r="A17" s="77" t="n">
        <v>13</v>
      </c>
      <c r="B17" s="77" t="inlineStr">
        <is>
          <t>Accessibility as an amenity</t>
        </is>
      </c>
      <c r="C17" s="77" t="inlineStr">
        <is>
          <t>Mall of the Emirates' cinema became the GCC's first fully accessible one. What accessible design means for malls — and for a directory read on phones.</t>
        </is>
      </c>
      <c r="D17" s="77" t="inlineStr">
        <is>
          <t>RPM feature · Digital Directory page (p381)</t>
        </is>
      </c>
      <c r="E17" s="77" t="inlineStr">
        <is>
          <t>UAE</t>
        </is>
      </c>
      <c r="F17" s="77" t="inlineStr">
        <is>
          <t>VOX Cinemas at Mall of the Emirates earned Dubai Municipality's Wosool certification (6 Jul 2026), covering all auditoriums and formats</t>
        </is>
      </c>
      <c r="G17" s="77" t="inlineStr">
        <is>
          <t>MAF (member). Pairs with the WCAG 2.2 AA web edition of the directory.</t>
        </is>
      </c>
      <c r="H17" s="77" t="inlineStr"/>
      <c r="I17" s="77" t="inlineStr">
        <is>
          <t>Zawya (press release) · 6 Jul 2026</t>
        </is>
      </c>
      <c r="J17" s="79" t="inlineStr">
        <is>
          <t>zawya.com</t>
        </is>
      </c>
      <c r="K17" s="77" t="inlineStr"/>
      <c r="L17" s="80" t="inlineStr">
        <is>
          <t>Idea</t>
        </is>
      </c>
      <c r="M17" s="80" t="inlineStr"/>
      <c r="N17" s="80" t="inlineStr"/>
    </row>
    <row r="18">
      <c r="A18" s="77" t="n">
        <v>14</v>
      </c>
      <c r="B18" s="77" t="inlineStr">
        <is>
          <t>Iraq's mega-mall arrives</t>
        </is>
      </c>
      <c r="C18" s="77" t="inlineStr">
        <is>
          <t>Iraq Mall in Baghdad opened with 1,000+ outlets, a hotel and the country's first IMAX — a test of how far Iraqi retail demand has come.</t>
        </is>
      </c>
      <c r="D18" s="77" t="inlineStr">
        <is>
          <t>RPM feature</t>
        </is>
      </c>
      <c r="E18" s="77" t="inlineStr">
        <is>
          <t>Iraq</t>
        </is>
      </c>
      <c r="F18" s="77" t="inlineStr">
        <is>
          <t>550,000+ sqm complex, 1,000+ outlets, 23-storey hotel · Iraq's first IMAX with Laser (Aug 2026) · SOUEAST's first Iraqi mall showroom</t>
        </is>
      </c>
      <c r="G18" s="77" t="inlineStr">
        <is>
          <t>Iraq Mall is listed (p137).</t>
        </is>
      </c>
      <c r="H18" s="77" t="inlineStr">
        <is>
          <t>Size figures vary by source — use GLA.</t>
        </is>
      </c>
      <c r="I18" s="77" t="inlineStr">
        <is>
          <t>Iraqi News · Feb 2026</t>
        </is>
      </c>
      <c r="J18" s="79" t="inlineStr">
        <is>
          <t>iraqinews.com</t>
        </is>
      </c>
      <c r="K18" s="77" t="inlineStr"/>
      <c r="L18" s="80" t="inlineStr">
        <is>
          <t>Idea</t>
        </is>
      </c>
      <c r="M18" s="80" t="inlineStr"/>
      <c r="N18" s="80" t="inlineStr"/>
    </row>
    <row r="20" ht="40" customHeight="1" s="72">
      <c r="B20" s="84" t="inlineStr">
        <is>
          <t>Expert Views (pp 38–55) are written by the contracted companies — these ideas are MECSR's own editorial and should not duplicate them. Cite the original outlet, not the intel report, and recheck any figure older than three months before print.</t>
        </is>
      </c>
    </row>
  </sheetData>
  <autoFilter ref="A4:N18"/>
  <mergeCells count="3">
    <mergeCell ref="A1:F1"/>
    <mergeCell ref="B20:J20"/>
    <mergeCell ref="A2:J2"/>
  </mergeCells>
  <dataValidations count="1">
    <dataValidation sqref="L5:L58" showDropDown="0" showInputMessage="0" showErrorMessage="0" allowBlank="1" type="list">
      <formula1>"Idea,Commissioned,In Progress,Filed,Published,Dropped"</formula1>
    </dataValidation>
  </dataValidations>
  <hyperlinks>
    <hyperlink xmlns:r="http://schemas.openxmlformats.org/officeDocument/2006/relationships" ref="J5" r:id="rId1"/>
    <hyperlink xmlns:r="http://schemas.openxmlformats.org/officeDocument/2006/relationships" ref="J6" r:id="rId2"/>
    <hyperlink xmlns:r="http://schemas.openxmlformats.org/officeDocument/2006/relationships" ref="J7" r:id="rId3"/>
    <hyperlink xmlns:r="http://schemas.openxmlformats.org/officeDocument/2006/relationships" ref="J8" r:id="rId4"/>
    <hyperlink xmlns:r="http://schemas.openxmlformats.org/officeDocument/2006/relationships" ref="J9" r:id="rId5"/>
    <hyperlink xmlns:r="http://schemas.openxmlformats.org/officeDocument/2006/relationships" ref="J10" r:id="rId6"/>
    <hyperlink xmlns:r="http://schemas.openxmlformats.org/officeDocument/2006/relationships" ref="J11" r:id="rId7"/>
    <hyperlink xmlns:r="http://schemas.openxmlformats.org/officeDocument/2006/relationships" ref="J12" r:id="rId8"/>
    <hyperlink xmlns:r="http://schemas.openxmlformats.org/officeDocument/2006/relationships" ref="J13" r:id="rId9"/>
    <hyperlink xmlns:r="http://schemas.openxmlformats.org/officeDocument/2006/relationships" ref="J14" r:id="rId10"/>
    <hyperlink xmlns:r="http://schemas.openxmlformats.org/officeDocument/2006/relationships" ref="J15" r:id="rId11"/>
    <hyperlink xmlns:r="http://schemas.openxmlformats.org/officeDocument/2006/relationships" ref="J16" r:id="rId12"/>
    <hyperlink xmlns:r="http://schemas.openxmlformats.org/officeDocument/2006/relationships" ref="J17" r:id="rId13"/>
    <hyperlink xmlns:r="http://schemas.openxmlformats.org/officeDocument/2006/relationships" ref="J18" r:id="rId14"/>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56"/>
  <sheetViews>
    <sheetView zoomScale="90"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5" customWidth="1" style="72" min="1" max="1"/>
    <col width="20" customWidth="1" style="72" min="2" max="2"/>
    <col width="34" customWidth="1" style="72" min="3" max="3"/>
    <col width="13" customWidth="1" style="72" min="4" max="4"/>
    <col width="12" customWidth="1" style="72" min="5" max="5"/>
    <col width="46" customWidth="1" style="72" min="6" max="6"/>
    <col width="50" customWidth="1" style="72" min="7" max="7"/>
    <col width="13" customWidth="1" style="72" min="8" max="8"/>
    <col width="14" customWidth="1" style="72" min="9" max="9"/>
    <col width="34" customWidth="1" style="72" min="10" max="10"/>
  </cols>
  <sheetData>
    <row r="1" ht="17.65" customHeight="1" s="72">
      <c r="A1" s="73" t="inlineStr">
        <is>
          <t>13 · BOOK QA — LISTINGS TO FIX BEFORE PRINT</t>
        </is>
      </c>
    </row>
    <row r="2" ht="30" customHeight="1" s="72">
      <c r="A2" s="76" t="inlineStr">
        <is>
          <t>Found while checking the intel against the book: 37 mixed-use developments in the A–Z index have no listing card, three records marked for deletion are printed, and ten names appear twice. Mixed-use cards printed of planned — Bahrain 8 of 12; Egypt 11 of 15; Iran 8 of 10; Kuwait 12 of 16; Morocco 4 of 5; Oman 4 of 5; Pakistan 6 of 8; Saudi Arabia 24 of 35; UAE 25 of 37.</t>
        </is>
      </c>
    </row>
    <row r="4" ht="32" customHeight="1" s="72">
      <c r="A4" s="6" t="inlineStr">
        <is>
          <t>SN</t>
        </is>
      </c>
      <c r="B4" s="6" t="inlineStr">
        <is>
          <t>ISSUE</t>
        </is>
      </c>
      <c r="C4" s="6" t="inlineStr">
        <is>
          <t>PROPERTY</t>
        </is>
      </c>
      <c r="D4" s="6" t="inlineStr">
        <is>
          <t>COUNTRY</t>
        </is>
      </c>
      <c r="E4" s="6" t="inlineStr">
        <is>
          <t>A–Z PAGE</t>
        </is>
      </c>
      <c r="F4" s="6" t="inlineStr">
        <is>
          <t>WHAT IS WRONG</t>
        </is>
      </c>
      <c r="G4" s="6" t="inlineStr">
        <is>
          <t>FIX</t>
        </is>
      </c>
      <c r="H4" s="7" t="inlineStr">
        <is>
          <t>STATUS</t>
        </is>
      </c>
      <c r="I4" s="7" t="inlineStr">
        <is>
          <t>ASSIGNED TO</t>
        </is>
      </c>
      <c r="J4" s="7" t="inlineStr">
        <is>
          <t>NOTES</t>
        </is>
      </c>
    </row>
    <row r="5">
      <c r="A5" s="77" t="n">
        <v>1</v>
      </c>
      <c r="B5" s="85" t="inlineStr">
        <is>
          <t>Missing from the listings</t>
        </is>
      </c>
      <c r="C5" s="77" t="inlineStr">
        <is>
          <t>Dragon City Bahrain</t>
        </is>
      </c>
      <c r="D5" s="77" t="inlineStr">
        <is>
          <t>Bahrain</t>
        </is>
      </c>
      <c r="E5" s="77" t="n">
        <v>98</v>
      </c>
      <c r="F5" s="77" t="inlineStr">
        <is>
          <t>In the A–Z index and the plan's mixed-use count, but no card on the mixed-use pages.</t>
        </is>
      </c>
      <c r="G5" s="77" t="inlineStr">
        <is>
          <t>Set the mixed-use template to 6 cards per page — what the plan assumes; no page moves.</t>
        </is>
      </c>
      <c r="H5" s="80" t="inlineStr">
        <is>
          <t>Not Started</t>
        </is>
      </c>
      <c r="I5" s="80" t="inlineStr"/>
      <c r="J5" s="80" t="inlineStr"/>
    </row>
    <row r="6">
      <c r="A6" s="77" t="n">
        <v>2</v>
      </c>
      <c r="B6" s="85" t="inlineStr">
        <is>
          <t>Missing from the listings</t>
        </is>
      </c>
      <c r="C6" s="77" t="inlineStr">
        <is>
          <t>El Mercado Mall</t>
        </is>
      </c>
      <c r="D6" s="77" t="inlineStr">
        <is>
          <t>Bahrain</t>
        </is>
      </c>
      <c r="E6" s="77" t="n">
        <v>99</v>
      </c>
      <c r="F6" s="77" t="inlineStr">
        <is>
          <t>In the A–Z index and the plan's mixed-use count, but no card on the mixed-use pages.</t>
        </is>
      </c>
      <c r="G6" s="77" t="inlineStr">
        <is>
          <t>Set the mixed-use template to 6 cards per page — what the plan assumes; no page moves.</t>
        </is>
      </c>
      <c r="H6" s="80" t="inlineStr">
        <is>
          <t>Not Started</t>
        </is>
      </c>
      <c r="I6" s="80" t="inlineStr"/>
      <c r="J6" s="80" t="inlineStr"/>
    </row>
    <row r="7">
      <c r="A7" s="77" t="n">
        <v>3</v>
      </c>
      <c r="B7" s="85" t="inlineStr">
        <is>
          <t>Missing from the listings</t>
        </is>
      </c>
      <c r="C7" s="77" t="inlineStr">
        <is>
          <t>Liwan</t>
        </is>
      </c>
      <c r="D7" s="77" t="inlineStr">
        <is>
          <t>Bahrain</t>
        </is>
      </c>
      <c r="E7" s="77" t="n">
        <v>98</v>
      </c>
      <c r="F7" s="77" t="inlineStr">
        <is>
          <t>In the A–Z index and the plan's mixed-use count, but no card on the mixed-use pages.</t>
        </is>
      </c>
      <c r="G7" s="77" t="inlineStr">
        <is>
          <t>Set the mixed-use template to 6 cards per page — what the plan assumes; no page moves.</t>
        </is>
      </c>
      <c r="H7" s="80" t="inlineStr">
        <is>
          <t>Not Started</t>
        </is>
      </c>
      <c r="I7" s="80" t="inlineStr"/>
      <c r="J7" s="80" t="inlineStr"/>
    </row>
    <row r="8">
      <c r="A8" s="77" t="n">
        <v>4</v>
      </c>
      <c r="B8" s="85" t="inlineStr">
        <is>
          <t>Missing from the listings</t>
        </is>
      </c>
      <c r="C8" s="77" t="inlineStr">
        <is>
          <t>The Atrium Mall Bahrain</t>
        </is>
      </c>
      <c r="D8" s="77" t="inlineStr">
        <is>
          <t>Bahrain</t>
        </is>
      </c>
      <c r="E8" s="77" t="n">
        <v>99</v>
      </c>
      <c r="F8" s="77" t="inlineStr">
        <is>
          <t>In the A–Z index and the plan's mixed-use count, but no card on the mixed-use pages.</t>
        </is>
      </c>
      <c r="G8" s="77" t="inlineStr">
        <is>
          <t>Set the mixed-use template to 6 cards per page — what the plan assumes; no page moves.</t>
        </is>
      </c>
      <c r="H8" s="80" t="inlineStr">
        <is>
          <t>Not Started</t>
        </is>
      </c>
      <c r="I8" s="80" t="inlineStr"/>
      <c r="J8" s="80" t="inlineStr"/>
    </row>
    <row r="9">
      <c r="A9" s="77" t="n">
        <v>5</v>
      </c>
      <c r="B9" s="85" t="inlineStr">
        <is>
          <t>Missing from the listings</t>
        </is>
      </c>
      <c r="C9" s="77" t="inlineStr">
        <is>
          <t>C'EST LA VIE</t>
        </is>
      </c>
      <c r="D9" s="77" t="inlineStr">
        <is>
          <t>Egypt</t>
        </is>
      </c>
      <c r="E9" s="77" t="n">
        <v>114</v>
      </c>
      <c r="F9" s="77" t="inlineStr">
        <is>
          <t>In the A–Z index and the plan's mixed-use count, but no card on the mixed-use pages.</t>
        </is>
      </c>
      <c r="G9" s="77" t="inlineStr">
        <is>
          <t>Set the mixed-use template to 6 cards per page — what the plan assumes; no page moves.</t>
        </is>
      </c>
      <c r="H9" s="80" t="inlineStr">
        <is>
          <t>Not Started</t>
        </is>
      </c>
      <c r="I9" s="80" t="inlineStr"/>
      <c r="J9" s="80" t="inlineStr"/>
    </row>
    <row r="10">
      <c r="A10" s="77" t="n">
        <v>6</v>
      </c>
      <c r="B10" s="85" t="inlineStr">
        <is>
          <t>Missing from the listings</t>
        </is>
      </c>
      <c r="C10" s="77" t="inlineStr">
        <is>
          <t>Capital Diamond Tower</t>
        </is>
      </c>
      <c r="D10" s="77" t="inlineStr">
        <is>
          <t>Egypt</t>
        </is>
      </c>
      <c r="E10" s="77" t="n">
        <v>114</v>
      </c>
      <c r="F10" s="77" t="inlineStr">
        <is>
          <t>In the A–Z index and the plan's mixed-use count, but no card on the mixed-use pages.</t>
        </is>
      </c>
      <c r="G10" s="77" t="inlineStr">
        <is>
          <t>Set the mixed-use template to 6 cards per page — what the plan assumes; no page moves.</t>
        </is>
      </c>
      <c r="H10" s="80" t="inlineStr">
        <is>
          <t>Not Started</t>
        </is>
      </c>
      <c r="I10" s="80" t="inlineStr"/>
      <c r="J10" s="80" t="inlineStr"/>
    </row>
    <row r="11">
      <c r="A11" s="77" t="n">
        <v>7</v>
      </c>
      <c r="B11" s="85" t="inlineStr">
        <is>
          <t>Missing from the listings</t>
        </is>
      </c>
      <c r="C11" s="77" t="inlineStr">
        <is>
          <t>Citadel Plaza</t>
        </is>
      </c>
      <c r="D11" s="77" t="inlineStr">
        <is>
          <t>Egypt</t>
        </is>
      </c>
      <c r="E11" s="77" t="n">
        <v>113</v>
      </c>
      <c r="F11" s="77" t="inlineStr">
        <is>
          <t>In the A–Z index and the plan's mixed-use count, but no card on the mixed-use pages.</t>
        </is>
      </c>
      <c r="G11" s="77" t="inlineStr">
        <is>
          <t>Set the mixed-use template to 6 cards per page — what the plan assumes; no page moves.</t>
        </is>
      </c>
      <c r="H11" s="80" t="inlineStr">
        <is>
          <t>Not Started</t>
        </is>
      </c>
      <c r="I11" s="80" t="inlineStr"/>
      <c r="J11" s="80" t="inlineStr"/>
    </row>
    <row r="12">
      <c r="A12" s="77" t="n">
        <v>8</v>
      </c>
      <c r="B12" s="85" t="inlineStr">
        <is>
          <t>Missing from the listings</t>
        </is>
      </c>
      <c r="C12" s="77" t="inlineStr">
        <is>
          <t>Golden Gate</t>
        </is>
      </c>
      <c r="D12" s="77" t="inlineStr">
        <is>
          <t>Egypt</t>
        </is>
      </c>
      <c r="E12" s="77" t="n">
        <v>113</v>
      </c>
      <c r="F12" s="77" t="inlineStr">
        <is>
          <t>In the A–Z index and the plan's mixed-use count, but no card on the mixed-use pages.</t>
        </is>
      </c>
      <c r="G12" s="77" t="inlineStr">
        <is>
          <t>Set the mixed-use template to 6 cards per page — what the plan assumes; no page moves.</t>
        </is>
      </c>
      <c r="H12" s="80" t="inlineStr">
        <is>
          <t>Not Started</t>
        </is>
      </c>
      <c r="I12" s="80" t="inlineStr"/>
      <c r="J12" s="80" t="inlineStr"/>
    </row>
    <row r="13">
      <c r="A13" s="77" t="n">
        <v>9</v>
      </c>
      <c r="B13" s="85" t="inlineStr">
        <is>
          <t>Missing from the listings</t>
        </is>
      </c>
      <c r="C13" s="77" t="inlineStr">
        <is>
          <t>Atlas Tabriz Trade Center</t>
        </is>
      </c>
      <c r="D13" s="77" t="inlineStr">
        <is>
          <t>Iran</t>
        </is>
      </c>
      <c r="E13" s="77" t="n">
        <v>131</v>
      </c>
      <c r="F13" s="77" t="inlineStr">
        <is>
          <t>In the A–Z index and the plan's mixed-use count, but no card on the mixed-use pages.</t>
        </is>
      </c>
      <c r="G13" s="77" t="inlineStr">
        <is>
          <t>Set the mixed-use template to 6 cards per page — what the plan assumes; no page moves.</t>
        </is>
      </c>
      <c r="H13" s="80" t="inlineStr">
        <is>
          <t>Not Started</t>
        </is>
      </c>
      <c r="I13" s="80" t="inlineStr"/>
      <c r="J13" s="80" t="inlineStr"/>
    </row>
    <row r="14">
      <c r="A14" s="77" t="n">
        <v>10</v>
      </c>
      <c r="B14" s="85" t="inlineStr">
        <is>
          <t>Missing from the listings</t>
        </is>
      </c>
      <c r="C14" s="77" t="inlineStr">
        <is>
          <t>Ferdowsi World Trade Center</t>
        </is>
      </c>
      <c r="D14" s="77" t="inlineStr">
        <is>
          <t>Iran</t>
        </is>
      </c>
      <c r="E14" s="77" t="n">
        <v>131</v>
      </c>
      <c r="F14" s="77" t="inlineStr">
        <is>
          <t>In the A–Z index and the plan's mixed-use count, but no card on the mixed-use pages.</t>
        </is>
      </c>
      <c r="G14" s="77" t="inlineStr">
        <is>
          <t>Set the mixed-use template to 6 cards per page — what the plan assumes; no page moves.</t>
        </is>
      </c>
      <c r="H14" s="80" t="inlineStr">
        <is>
          <t>Not Started</t>
        </is>
      </c>
      <c r="I14" s="80" t="inlineStr"/>
      <c r="J14" s="80" t="inlineStr"/>
    </row>
    <row r="15">
      <c r="A15" s="77" t="n">
        <v>11</v>
      </c>
      <c r="B15" s="85" t="inlineStr">
        <is>
          <t>Missing from the listings</t>
        </is>
      </c>
      <c r="C15" s="77" t="inlineStr">
        <is>
          <t>Al Kout Mall</t>
        </is>
      </c>
      <c r="D15" s="77" t="inlineStr">
        <is>
          <t>Kuwait</t>
        </is>
      </c>
      <c r="E15" s="77" t="n">
        <v>160</v>
      </c>
      <c r="F15" s="77" t="inlineStr">
        <is>
          <t>In the A–Z index and the plan's mixed-use count, but no card on the mixed-use pages.</t>
        </is>
      </c>
      <c r="G15" s="77" t="inlineStr">
        <is>
          <t>Set the mixed-use template to 6 cards per page — what the plan assumes; no page moves.</t>
        </is>
      </c>
      <c r="H15" s="80" t="inlineStr">
        <is>
          <t>Not Started</t>
        </is>
      </c>
      <c r="I15" s="80" t="inlineStr"/>
      <c r="J15" s="80" t="inlineStr"/>
    </row>
    <row r="16">
      <c r="A16" s="77" t="n">
        <v>12</v>
      </c>
      <c r="B16" s="85" t="inlineStr">
        <is>
          <t>Missing from the listings</t>
        </is>
      </c>
      <c r="C16" s="77" t="inlineStr">
        <is>
          <t>Arraya Complex</t>
        </is>
      </c>
      <c r="D16" s="77" t="inlineStr">
        <is>
          <t>Kuwait</t>
        </is>
      </c>
      <c r="E16" s="77" t="n">
        <v>161</v>
      </c>
      <c r="F16" s="77" t="inlineStr">
        <is>
          <t>In the A–Z index and the plan's mixed-use count, but no card on the mixed-use pages.</t>
        </is>
      </c>
      <c r="G16" s="77" t="inlineStr">
        <is>
          <t>Set the mixed-use template to 6 cards per page — what the plan assumes; no page moves.</t>
        </is>
      </c>
      <c r="H16" s="80" t="inlineStr">
        <is>
          <t>Not Started</t>
        </is>
      </c>
      <c r="I16" s="80" t="inlineStr"/>
      <c r="J16" s="80" t="inlineStr"/>
    </row>
    <row r="17">
      <c r="A17" s="77" t="n">
        <v>13</v>
      </c>
      <c r="B17" s="85" t="inlineStr">
        <is>
          <t>Missing from the listings</t>
        </is>
      </c>
      <c r="C17" s="77" t="inlineStr">
        <is>
          <t>Hessah District</t>
        </is>
      </c>
      <c r="D17" s="77" t="inlineStr">
        <is>
          <t>Kuwait</t>
        </is>
      </c>
      <c r="E17" s="77" t="n">
        <v>160</v>
      </c>
      <c r="F17" s="77" t="inlineStr">
        <is>
          <t>In the A–Z index and the plan's mixed-use count, but no card on the mixed-use pages.</t>
        </is>
      </c>
      <c r="G17" s="77" t="inlineStr">
        <is>
          <t>Set the mixed-use template to 6 cards per page — what the plan assumes; no page moves.</t>
        </is>
      </c>
      <c r="H17" s="80" t="inlineStr">
        <is>
          <t>Not Started</t>
        </is>
      </c>
      <c r="I17" s="80" t="inlineStr"/>
      <c r="J17" s="80" t="inlineStr"/>
    </row>
    <row r="18">
      <c r="A18" s="77" t="n">
        <v>14</v>
      </c>
      <c r="B18" s="85" t="inlineStr">
        <is>
          <t>Missing from the listings</t>
        </is>
      </c>
      <c r="C18" s="77" t="inlineStr">
        <is>
          <t>Symphony Style Mall</t>
        </is>
      </c>
      <c r="D18" s="77" t="inlineStr">
        <is>
          <t>Kuwait</t>
        </is>
      </c>
      <c r="E18" s="77" t="n">
        <v>161</v>
      </c>
      <c r="F18" s="77" t="inlineStr">
        <is>
          <t>In the A–Z index and the plan's mixed-use count, but no card on the mixed-use pages.</t>
        </is>
      </c>
      <c r="G18" s="77" t="inlineStr">
        <is>
          <t>Set the mixed-use template to 6 cards per page — what the plan assumes; no page moves.</t>
        </is>
      </c>
      <c r="H18" s="80" t="inlineStr">
        <is>
          <t>Not Started</t>
        </is>
      </c>
      <c r="I18" s="80" t="inlineStr"/>
      <c r="J18" s="80" t="inlineStr"/>
    </row>
    <row r="19">
      <c r="A19" s="77" t="n">
        <v>15</v>
      </c>
      <c r="B19" s="85" t="inlineStr">
        <is>
          <t>Missing from the listings</t>
        </is>
      </c>
      <c r="C19" s="77" t="inlineStr">
        <is>
          <t>Ibn Batouta Mall</t>
        </is>
      </c>
      <c r="D19" s="77" t="inlineStr">
        <is>
          <t>Morocco</t>
        </is>
      </c>
      <c r="E19" s="77" t="n">
        <v>178</v>
      </c>
      <c r="F19" s="77" t="inlineStr">
        <is>
          <t>In the A–Z index and the plan's mixed-use count, but no card on the mixed-use pages.</t>
        </is>
      </c>
      <c r="G19" s="77" t="inlineStr">
        <is>
          <t>Set the mixed-use template to 6 cards per page — what the plan assumes; no page moves.</t>
        </is>
      </c>
      <c r="H19" s="80" t="inlineStr">
        <is>
          <t>Not Started</t>
        </is>
      </c>
      <c r="I19" s="80" t="inlineStr"/>
      <c r="J19" s="80" t="inlineStr"/>
    </row>
    <row r="20">
      <c r="A20" s="77" t="n">
        <v>16</v>
      </c>
      <c r="B20" s="85" t="inlineStr">
        <is>
          <t>Missing from the listings</t>
        </is>
      </c>
      <c r="C20" s="77" t="inlineStr">
        <is>
          <t>Panorama Mall</t>
        </is>
      </c>
      <c r="D20" s="77" t="inlineStr">
        <is>
          <t>Oman</t>
        </is>
      </c>
      <c r="E20" s="77" t="n">
        <v>191</v>
      </c>
      <c r="F20" s="77" t="inlineStr">
        <is>
          <t>In the A–Z index and the plan's mixed-use count, but no card on the mixed-use pages.</t>
        </is>
      </c>
      <c r="G20" s="77" t="inlineStr">
        <is>
          <t>Set the mixed-use template to 6 cards per page — what the plan assumes; no page moves.</t>
        </is>
      </c>
      <c r="H20" s="80" t="inlineStr">
        <is>
          <t>Not Started</t>
        </is>
      </c>
      <c r="I20" s="80" t="inlineStr"/>
      <c r="J20" s="80" t="inlineStr"/>
    </row>
    <row r="21">
      <c r="A21" s="77" t="n">
        <v>17</v>
      </c>
      <c r="B21" s="85" t="inlineStr">
        <is>
          <t>Missing from the listings</t>
        </is>
      </c>
      <c r="C21" s="77" t="inlineStr">
        <is>
          <t>Mall of Wah</t>
        </is>
      </c>
      <c r="D21" s="77" t="inlineStr">
        <is>
          <t>Pakistan</t>
        </is>
      </c>
      <c r="E21" s="77" t="n">
        <v>198</v>
      </c>
      <c r="F21" s="77" t="inlineStr">
        <is>
          <t>In the A–Z index and the plan's mixed-use count, but no card on the mixed-use pages.</t>
        </is>
      </c>
      <c r="G21" s="77" t="inlineStr">
        <is>
          <t>Set the mixed-use template to 6 cards per page — what the plan assumes; no page moves.</t>
        </is>
      </c>
      <c r="H21" s="80" t="inlineStr">
        <is>
          <t>Not Started</t>
        </is>
      </c>
      <c r="I21" s="80" t="inlineStr"/>
      <c r="J21" s="80" t="inlineStr"/>
    </row>
    <row r="22">
      <c r="A22" s="77" t="n">
        <v>18</v>
      </c>
      <c r="B22" s="85" t="inlineStr">
        <is>
          <t>Missing from the listings</t>
        </is>
      </c>
      <c r="C22" s="77" t="inlineStr">
        <is>
          <t>The Crown Mall &amp; Residency</t>
        </is>
      </c>
      <c r="D22" s="77" t="inlineStr">
        <is>
          <t>Pakistan</t>
        </is>
      </c>
      <c r="E22" s="77" t="n">
        <v>198</v>
      </c>
      <c r="F22" s="77" t="inlineStr">
        <is>
          <t>In the A–Z index and the plan's mixed-use count, but no card on the mixed-use pages.</t>
        </is>
      </c>
      <c r="G22" s="77" t="inlineStr">
        <is>
          <t>Set the mixed-use template to 6 cards per page — what the plan assumes; no page moves.</t>
        </is>
      </c>
      <c r="H22" s="80" t="inlineStr">
        <is>
          <t>Not Started</t>
        </is>
      </c>
      <c r="I22" s="80" t="inlineStr"/>
      <c r="J22" s="80" t="inlineStr"/>
    </row>
    <row r="23">
      <c r="A23" s="77" t="n">
        <v>19</v>
      </c>
      <c r="B23" s="85" t="inlineStr">
        <is>
          <t>Missing from the listings</t>
        </is>
      </c>
      <c r="C23" s="77" t="inlineStr">
        <is>
          <t>Jubail Bay Mall</t>
        </is>
      </c>
      <c r="D23" s="77" t="inlineStr">
        <is>
          <t>Saudi Arabia</t>
        </is>
      </c>
      <c r="E23" s="77" t="n">
        <v>234</v>
      </c>
      <c r="F23" s="77" t="inlineStr">
        <is>
          <t>In the A–Z index and the plan's mixed-use count, but no card on the mixed-use pages.</t>
        </is>
      </c>
      <c r="G23" s="77" t="inlineStr">
        <is>
          <t>Set the mixed-use template to 6 cards per page — what the plan assumes; no page moves.</t>
        </is>
      </c>
      <c r="H23" s="80" t="inlineStr">
        <is>
          <t>Not Started</t>
        </is>
      </c>
      <c r="I23" s="80" t="inlineStr"/>
      <c r="J23" s="80" t="inlineStr"/>
    </row>
    <row r="24">
      <c r="A24" s="77" t="n">
        <v>20</v>
      </c>
      <c r="B24" s="85" t="inlineStr">
        <is>
          <t>Missing from the listings</t>
        </is>
      </c>
      <c r="C24" s="77" t="inlineStr">
        <is>
          <t>KEC Hub</t>
        </is>
      </c>
      <c r="D24" s="77" t="inlineStr">
        <is>
          <t>Saudi Arabia</t>
        </is>
      </c>
      <c r="E24" s="77" t="n">
        <v>232</v>
      </c>
      <c r="F24" s="77" t="inlineStr">
        <is>
          <t>In the A–Z index and the plan's mixed-use count, but no card on the mixed-use pages.</t>
        </is>
      </c>
      <c r="G24" s="77" t="inlineStr">
        <is>
          <t>Set the mixed-use template to 6 cards per page — what the plan assumes; no page moves.</t>
        </is>
      </c>
      <c r="H24" s="80" t="inlineStr">
        <is>
          <t>Not Started</t>
        </is>
      </c>
      <c r="I24" s="80" t="inlineStr"/>
      <c r="J24" s="80" t="inlineStr">
        <is>
          <t>Platinum sponsor (Knowledge Economic City)</t>
        </is>
      </c>
    </row>
    <row r="25">
      <c r="A25" s="77" t="n">
        <v>21</v>
      </c>
      <c r="B25" s="85" t="inlineStr">
        <is>
          <t>Missing from the listings</t>
        </is>
      </c>
      <c r="C25" s="77" t="inlineStr">
        <is>
          <t>Marafy</t>
        </is>
      </c>
      <c r="D25" s="77" t="inlineStr">
        <is>
          <t>Saudi Arabia</t>
        </is>
      </c>
      <c r="E25" s="77" t="n">
        <v>236</v>
      </c>
      <c r="F25" s="77" t="inlineStr">
        <is>
          <t>In the A–Z index and the plan's mixed-use count, but no card on the mixed-use pages.</t>
        </is>
      </c>
      <c r="G25" s="77" t="inlineStr">
        <is>
          <t>Set the mixed-use template to 6 cards per page — what the plan assumes; no page moves.</t>
        </is>
      </c>
      <c r="H25" s="80" t="inlineStr">
        <is>
          <t>Not Started</t>
        </is>
      </c>
      <c r="I25" s="80" t="inlineStr"/>
      <c r="J25" s="80" t="inlineStr"/>
    </row>
    <row r="26">
      <c r="A26" s="77" t="n">
        <v>22</v>
      </c>
      <c r="B26" s="85" t="inlineStr">
        <is>
          <t>Missing from the listings</t>
        </is>
      </c>
      <c r="C26" s="77" t="inlineStr">
        <is>
          <t>Oxagon</t>
        </is>
      </c>
      <c r="D26" s="77" t="inlineStr">
        <is>
          <t>Saudi Arabia</t>
        </is>
      </c>
      <c r="E26" s="77" t="n">
        <v>232</v>
      </c>
      <c r="F26" s="77" t="inlineStr">
        <is>
          <t>In the A–Z index and the plan's mixed-use count, but no card on the mixed-use pages.</t>
        </is>
      </c>
      <c r="G26" s="77" t="inlineStr">
        <is>
          <t>Set the mixed-use template to 6 cards per page — what the plan assumes; no page moves.</t>
        </is>
      </c>
      <c r="H26" s="80" t="inlineStr">
        <is>
          <t>Not Started</t>
        </is>
      </c>
      <c r="I26" s="80" t="inlineStr"/>
      <c r="J26" s="80" t="inlineStr"/>
    </row>
    <row r="27">
      <c r="A27" s="77" t="n">
        <v>23</v>
      </c>
      <c r="B27" s="85" t="inlineStr">
        <is>
          <t>Missing from the listings</t>
        </is>
      </c>
      <c r="C27" s="77" t="inlineStr">
        <is>
          <t>Riyamarché</t>
        </is>
      </c>
      <c r="D27" s="77" t="inlineStr">
        <is>
          <t>Saudi Arabia</t>
        </is>
      </c>
      <c r="E27" s="77" t="n">
        <v>234</v>
      </c>
      <c r="F27" s="77" t="inlineStr">
        <is>
          <t>In the A–Z index and the plan's mixed-use count, but no card on the mixed-use pages.</t>
        </is>
      </c>
      <c r="G27" s="77" t="inlineStr">
        <is>
          <t>Set the mixed-use template to 6 cards per page — what the plan assumes; no page moves.</t>
        </is>
      </c>
      <c r="H27" s="80" t="inlineStr">
        <is>
          <t>Not Started</t>
        </is>
      </c>
      <c r="I27" s="80" t="inlineStr"/>
      <c r="J27" s="80" t="inlineStr"/>
    </row>
    <row r="28">
      <c r="A28" s="77" t="n">
        <v>24</v>
      </c>
      <c r="B28" s="85" t="inlineStr">
        <is>
          <t>Missing from the listings</t>
        </is>
      </c>
      <c r="C28" s="77" t="inlineStr">
        <is>
          <t>ROSHN Front</t>
        </is>
      </c>
      <c r="D28" s="77" t="inlineStr">
        <is>
          <t>Saudi Arabia</t>
        </is>
      </c>
      <c r="E28" s="77" t="n">
        <v>233</v>
      </c>
      <c r="F28" s="77" t="inlineStr">
        <is>
          <t>In the A–Z index and the plan's mixed-use count, but no card on the mixed-use pages.</t>
        </is>
      </c>
      <c r="G28" s="77" t="inlineStr">
        <is>
          <t>Set the mixed-use template to 6 cards per page — what the plan assumes; no page moves.</t>
        </is>
      </c>
      <c r="H28" s="80" t="inlineStr">
        <is>
          <t>Not Started</t>
        </is>
      </c>
      <c r="I28" s="80" t="inlineStr"/>
      <c r="J28" s="80" t="inlineStr"/>
    </row>
    <row r="29">
      <c r="A29" s="77" t="n">
        <v>25</v>
      </c>
      <c r="B29" s="85" t="inlineStr">
        <is>
          <t>Missing from the listings</t>
        </is>
      </c>
      <c r="C29" s="77" t="inlineStr">
        <is>
          <t>The Business District</t>
        </is>
      </c>
      <c r="D29" s="77" t="inlineStr">
        <is>
          <t>Saudi Arabia</t>
        </is>
      </c>
      <c r="E29" s="77" t="n">
        <v>235</v>
      </c>
      <c r="F29" s="77" t="inlineStr">
        <is>
          <t>In the A–Z index and the plan's mixed-use count, but no card on the mixed-use pages.</t>
        </is>
      </c>
      <c r="G29" s="77" t="inlineStr">
        <is>
          <t>Set the mixed-use template to 6 cards per page — what the plan assumes; no page moves.</t>
        </is>
      </c>
      <c r="H29" s="80" t="inlineStr">
        <is>
          <t>Not Started</t>
        </is>
      </c>
      <c r="I29" s="80" t="inlineStr"/>
      <c r="J29" s="80" t="inlineStr"/>
    </row>
    <row r="30">
      <c r="A30" s="77" t="n">
        <v>26</v>
      </c>
      <c r="B30" s="85" t="inlineStr">
        <is>
          <t>Missing from the listings</t>
        </is>
      </c>
      <c r="C30" s="77" t="inlineStr">
        <is>
          <t>The Line</t>
        </is>
      </c>
      <c r="D30" s="77" t="inlineStr">
        <is>
          <t>Saudi Arabia</t>
        </is>
      </c>
      <c r="E30" s="77" t="n">
        <v>237</v>
      </c>
      <c r="F30" s="77" t="inlineStr">
        <is>
          <t>In the A–Z index and the plan's mixed-use count, but no card on the mixed-use pages.</t>
        </is>
      </c>
      <c r="G30" s="77" t="inlineStr">
        <is>
          <t>Set the mixed-use template to 6 cards per page — what the plan assumes; no page moves.</t>
        </is>
      </c>
      <c r="H30" s="80" t="inlineStr">
        <is>
          <t>Not Started</t>
        </is>
      </c>
      <c r="I30" s="80" t="inlineStr"/>
      <c r="J30" s="80" t="inlineStr"/>
    </row>
    <row r="31">
      <c r="A31" s="77" t="n">
        <v>27</v>
      </c>
      <c r="B31" s="85" t="inlineStr">
        <is>
          <t>Missing from the listings</t>
        </is>
      </c>
      <c r="C31" s="77" t="inlineStr">
        <is>
          <t>Al Ghurair Centre</t>
        </is>
      </c>
      <c r="D31" s="77" t="inlineStr">
        <is>
          <t>UAE</t>
        </is>
      </c>
      <c r="E31" s="77" t="n">
        <v>290</v>
      </c>
      <c r="F31" s="77" t="inlineStr">
        <is>
          <t>In the A–Z index and the plan's mixed-use count, but no card on the mixed-use pages.</t>
        </is>
      </c>
      <c r="G31" s="77" t="inlineStr">
        <is>
          <t>Set the mixed-use template to 6 cards per page — what the plan assumes; no page moves.</t>
        </is>
      </c>
      <c r="H31" s="80" t="inlineStr">
        <is>
          <t>Not Started</t>
        </is>
      </c>
      <c r="I31" s="80" t="inlineStr"/>
      <c r="J31" s="80" t="inlineStr"/>
    </row>
    <row r="32">
      <c r="A32" s="77" t="n">
        <v>28</v>
      </c>
      <c r="B32" s="85" t="inlineStr">
        <is>
          <t>Missing from the listings</t>
        </is>
      </c>
      <c r="C32" s="77" t="inlineStr">
        <is>
          <t>Al Rayyan Complex</t>
        </is>
      </c>
      <c r="D32" s="77" t="inlineStr">
        <is>
          <t>UAE</t>
        </is>
      </c>
      <c r="E32" s="77" t="n">
        <v>292</v>
      </c>
      <c r="F32" s="77" t="inlineStr">
        <is>
          <t>In the A–Z index and the plan's mixed-use count, but no card on the mixed-use pages.</t>
        </is>
      </c>
      <c r="G32" s="77" t="inlineStr">
        <is>
          <t>Set the mixed-use template to 6 cards per page — what the plan assumes; no page moves.</t>
        </is>
      </c>
      <c r="H32" s="80" t="inlineStr">
        <is>
          <t>Not Started</t>
        </is>
      </c>
      <c r="I32" s="80" t="inlineStr"/>
      <c r="J32" s="80" t="inlineStr"/>
    </row>
    <row r="33">
      <c r="A33" s="77" t="n">
        <v>29</v>
      </c>
      <c r="B33" s="85" t="inlineStr">
        <is>
          <t>Missing from the listings</t>
        </is>
      </c>
      <c r="C33" s="77" t="inlineStr">
        <is>
          <t>BurJuman</t>
        </is>
      </c>
      <c r="D33" s="77" t="inlineStr">
        <is>
          <t>UAE</t>
        </is>
      </c>
      <c r="E33" s="77" t="n">
        <v>290</v>
      </c>
      <c r="F33" s="77" t="inlineStr">
        <is>
          <t>In the A–Z index and the plan's mixed-use count, but no card on the mixed-use pages.</t>
        </is>
      </c>
      <c r="G33" s="77" t="inlineStr">
        <is>
          <t>Set the mixed-use template to 6 cards per page — what the plan assumes; no page moves.</t>
        </is>
      </c>
      <c r="H33" s="80" t="inlineStr">
        <is>
          <t>Not Started</t>
        </is>
      </c>
      <c r="I33" s="80" t="inlineStr"/>
      <c r="J33" s="80" t="inlineStr">
        <is>
          <t>Bronze sponsor (BurJuman)</t>
        </is>
      </c>
    </row>
    <row r="34">
      <c r="A34" s="77" t="n">
        <v>30</v>
      </c>
      <c r="B34" s="85" t="inlineStr">
        <is>
          <t>Missing from the listings</t>
        </is>
      </c>
      <c r="C34" s="77" t="inlineStr">
        <is>
          <t>Dubai Festival City Mall</t>
        </is>
      </c>
      <c r="D34" s="77" t="inlineStr">
        <is>
          <t>UAE</t>
        </is>
      </c>
      <c r="E34" s="77" t="n">
        <v>291</v>
      </c>
      <c r="F34" s="77" t="inlineStr">
        <is>
          <t>In the A–Z index and the plan's mixed-use count, but no card on the mixed-use pages.</t>
        </is>
      </c>
      <c r="G34" s="77" t="inlineStr">
        <is>
          <t>Set the mixed-use template to 6 cards per page — what the plan assumes; no page moves.</t>
        </is>
      </c>
      <c r="H34" s="80" t="inlineStr">
        <is>
          <t>Not Started</t>
        </is>
      </c>
      <c r="I34" s="80" t="inlineStr"/>
      <c r="J34" s="80" t="inlineStr"/>
    </row>
    <row r="35">
      <c r="A35" s="77" t="n">
        <v>31</v>
      </c>
      <c r="B35" s="85" t="inlineStr">
        <is>
          <t>Missing from the listings</t>
        </is>
      </c>
      <c r="C35" s="77" t="inlineStr">
        <is>
          <t>Dubai Hills Mall</t>
        </is>
      </c>
      <c r="D35" s="77" t="inlineStr">
        <is>
          <t>UAE</t>
        </is>
      </c>
      <c r="E35" s="77" t="n">
        <v>289</v>
      </c>
      <c r="F35" s="77" t="inlineStr">
        <is>
          <t>In the A–Z index and the plan's mixed-use count, but no card on the mixed-use pages.</t>
        </is>
      </c>
      <c r="G35" s="77" t="inlineStr">
        <is>
          <t>Set the mixed-use template to 6 cards per page — what the plan assumes; no page moves.</t>
        </is>
      </c>
      <c r="H35" s="80" t="inlineStr">
        <is>
          <t>Not Started</t>
        </is>
      </c>
      <c r="I35" s="80" t="inlineStr"/>
      <c r="J35" s="80" t="inlineStr"/>
    </row>
    <row r="36">
      <c r="A36" s="77" t="n">
        <v>32</v>
      </c>
      <c r="B36" s="85" t="inlineStr">
        <is>
          <t>Missing from the listings</t>
        </is>
      </c>
      <c r="C36" s="77" t="inlineStr">
        <is>
          <t>Mazyad Mall</t>
        </is>
      </c>
      <c r="D36" s="77" t="inlineStr">
        <is>
          <t>UAE</t>
        </is>
      </c>
      <c r="E36" s="77" t="n">
        <v>292</v>
      </c>
      <c r="F36" s="77" t="inlineStr">
        <is>
          <t>In the A–Z index and the plan's mixed-use count, but no card on the mixed-use pages.</t>
        </is>
      </c>
      <c r="G36" s="77" t="inlineStr">
        <is>
          <t>Set the mixed-use template to 6 cards per page — what the plan assumes; no page moves.</t>
        </is>
      </c>
      <c r="H36" s="80" t="inlineStr">
        <is>
          <t>Not Started</t>
        </is>
      </c>
      <c r="I36" s="80" t="inlineStr"/>
      <c r="J36" s="80" t="inlineStr"/>
    </row>
    <row r="37">
      <c r="A37" s="77" t="n">
        <v>33</v>
      </c>
      <c r="B37" s="85" t="inlineStr">
        <is>
          <t>Missing from the listings</t>
        </is>
      </c>
      <c r="C37" s="77" t="inlineStr">
        <is>
          <t>PIXEL PLAZA</t>
        </is>
      </c>
      <c r="D37" s="77" t="inlineStr">
        <is>
          <t>UAE</t>
        </is>
      </c>
      <c r="E37" s="77" t="n">
        <v>293</v>
      </c>
      <c r="F37" s="77" t="inlineStr">
        <is>
          <t>In the A–Z index and the plan's mixed-use count, but no card on the mixed-use pages.</t>
        </is>
      </c>
      <c r="G37" s="77" t="inlineStr">
        <is>
          <t>Set the mixed-use template to 6 cards per page — what the plan assumes; no page moves.</t>
        </is>
      </c>
      <c r="H37" s="80" t="inlineStr">
        <is>
          <t>Not Started</t>
        </is>
      </c>
      <c r="I37" s="80" t="inlineStr"/>
      <c r="J37" s="80" t="inlineStr"/>
    </row>
    <row r="38">
      <c r="A38" s="77" t="n">
        <v>34</v>
      </c>
      <c r="B38" s="85" t="inlineStr">
        <is>
          <t>Missing from the listings</t>
        </is>
      </c>
      <c r="C38" s="77" t="inlineStr">
        <is>
          <t>The Galleria Al Maryah Island</t>
        </is>
      </c>
      <c r="D38" s="77" t="inlineStr">
        <is>
          <t>UAE</t>
        </is>
      </c>
      <c r="E38" s="77" t="n">
        <v>289</v>
      </c>
      <c r="F38" s="77" t="inlineStr">
        <is>
          <t>In the A–Z index and the plan's mixed-use count, but no card on the mixed-use pages.</t>
        </is>
      </c>
      <c r="G38" s="77" t="inlineStr">
        <is>
          <t>Set the mixed-use template to 6 cards per page — what the plan assumes; no page moves.</t>
        </is>
      </c>
      <c r="H38" s="80" t="inlineStr">
        <is>
          <t>Not Started</t>
        </is>
      </c>
      <c r="I38" s="80" t="inlineStr"/>
      <c r="J38" s="80" t="inlineStr"/>
    </row>
    <row r="39">
      <c r="A39" s="77" t="n">
        <v>35</v>
      </c>
      <c r="B39" s="85" t="inlineStr">
        <is>
          <t>Missing from the listings</t>
        </is>
      </c>
      <c r="C39" s="77" t="inlineStr">
        <is>
          <t>The Gate Avenue – DIFC</t>
        </is>
      </c>
      <c r="D39" s="77" t="inlineStr">
        <is>
          <t>UAE</t>
        </is>
      </c>
      <c r="E39" s="77" t="n">
        <v>291</v>
      </c>
      <c r="F39" s="77" t="inlineStr">
        <is>
          <t>In the A–Z index and the plan's mixed-use count, but no card on the mixed-use pages.</t>
        </is>
      </c>
      <c r="G39" s="77" t="inlineStr">
        <is>
          <t>Set the mixed-use template to 6 cards per page — what the plan assumes; no page moves.</t>
        </is>
      </c>
      <c r="H39" s="80" t="inlineStr">
        <is>
          <t>Not Started</t>
        </is>
      </c>
      <c r="I39" s="80" t="inlineStr"/>
      <c r="J39" s="80" t="inlineStr"/>
    </row>
    <row r="40">
      <c r="A40" s="77" t="n">
        <v>36</v>
      </c>
      <c r="B40" s="85" t="inlineStr">
        <is>
          <t>Missing from the listings</t>
        </is>
      </c>
      <c r="C40" s="77" t="inlineStr">
        <is>
          <t>The Souk At Qaryat Al Beri</t>
        </is>
      </c>
      <c r="D40" s="77" t="inlineStr">
        <is>
          <t>UAE</t>
        </is>
      </c>
      <c r="E40" s="77" t="n">
        <v>294</v>
      </c>
      <c r="F40" s="77" t="inlineStr">
        <is>
          <t>In the A–Z index and the plan's mixed-use count, but no card on the mixed-use pages.</t>
        </is>
      </c>
      <c r="G40" s="77" t="inlineStr">
        <is>
          <t>Set the mixed-use template to 6 cards per page — what the plan assumes; no page moves.</t>
        </is>
      </c>
      <c r="H40" s="80" t="inlineStr">
        <is>
          <t>Not Started</t>
        </is>
      </c>
      <c r="I40" s="80" t="inlineStr"/>
      <c r="J40" s="80" t="inlineStr"/>
    </row>
    <row r="41">
      <c r="A41" s="77" t="n">
        <v>37</v>
      </c>
      <c r="B41" s="85" t="inlineStr">
        <is>
          <t>Missing from the listings</t>
        </is>
      </c>
      <c r="C41" s="77" t="inlineStr">
        <is>
          <t>Wasl Square</t>
        </is>
      </c>
      <c r="D41" s="77" t="inlineStr">
        <is>
          <t>UAE</t>
        </is>
      </c>
      <c r="E41" s="77" t="n">
        <v>294</v>
      </c>
      <c r="F41" s="77" t="inlineStr">
        <is>
          <t>In the A–Z index and the plan's mixed-use count, but no card on the mixed-use pages.</t>
        </is>
      </c>
      <c r="G41" s="77" t="inlineStr">
        <is>
          <t>Set the mixed-use template to 6 cards per page — what the plan assumes; no page moves.</t>
        </is>
      </c>
      <c r="H41" s="80" t="inlineStr">
        <is>
          <t>Not Started</t>
        </is>
      </c>
      <c r="I41" s="80" t="inlineStr"/>
      <c r="J41" s="80" t="inlineStr"/>
    </row>
    <row r="42">
      <c r="A42" s="77" t="n">
        <v>38</v>
      </c>
      <c r="B42" s="85" t="inlineStr">
        <is>
          <t>Marked for deletion</t>
        </is>
      </c>
      <c r="C42" s="77" t="inlineStr">
        <is>
          <t>Gold City - to be deleted</t>
        </is>
      </c>
      <c r="D42" s="77" t="inlineStr">
        <is>
          <t>Egypt</t>
        </is>
      </c>
      <c r="E42" s="77" t="n">
        <v>111</v>
      </c>
      <c r="F42" s="77" t="inlineStr">
        <is>
          <t>An admin note in the Brilliant listing name is printed as the property name.</t>
        </is>
      </c>
      <c r="G42" s="77" t="inlineStr">
        <is>
          <t>Remove the record from the master dataset; it then drops out of the listings and the A–Z.</t>
        </is>
      </c>
      <c r="H42" s="80" t="inlineStr">
        <is>
          <t>Not Started</t>
        </is>
      </c>
      <c r="I42" s="80" t="inlineStr"/>
      <c r="J42" s="80" t="inlineStr"/>
    </row>
    <row r="43">
      <c r="A43" s="77" t="n">
        <v>39</v>
      </c>
      <c r="B43" s="85" t="inlineStr">
        <is>
          <t>Marked for deletion</t>
        </is>
      </c>
      <c r="C43" s="77" t="inlineStr">
        <is>
          <t>LiveSun Center - To be deleted Permanently closed</t>
        </is>
      </c>
      <c r="D43" s="77" t="inlineStr">
        <is>
          <t>Iran</t>
        </is>
      </c>
      <c r="E43" s="77" t="n">
        <v>127</v>
      </c>
      <c r="F43" s="77" t="inlineStr">
        <is>
          <t>An admin note in the Brilliant listing name is printed as the property name.</t>
        </is>
      </c>
      <c r="G43" s="77" t="inlineStr">
        <is>
          <t>Remove the record from the master dataset; it then drops out of the listings and the A–Z.</t>
        </is>
      </c>
      <c r="H43" s="80" t="inlineStr">
        <is>
          <t>Not Started</t>
        </is>
      </c>
      <c r="I43" s="80" t="inlineStr"/>
      <c r="J43" s="80" t="inlineStr"/>
    </row>
    <row r="44">
      <c r="A44" s="77" t="n">
        <v>40</v>
      </c>
      <c r="B44" s="85" t="inlineStr">
        <is>
          <t>Marked for deletion</t>
        </is>
      </c>
      <c r="C44" s="77" t="inlineStr">
        <is>
          <t>Mehestan City Center - to be deleted</t>
        </is>
      </c>
      <c r="D44" s="77" t="inlineStr">
        <is>
          <t>Iran</t>
        </is>
      </c>
      <c r="E44" s="77" t="n">
        <v>125</v>
      </c>
      <c r="F44" s="77" t="inlineStr">
        <is>
          <t>An admin note in the Brilliant listing name is printed as the property name.</t>
        </is>
      </c>
      <c r="G44" s="77" t="inlineStr">
        <is>
          <t>Remove the record from the master dataset; it then drops out of the listings and the A–Z.</t>
        </is>
      </c>
      <c r="H44" s="80" t="inlineStr">
        <is>
          <t>Not Started</t>
        </is>
      </c>
      <c r="I44" s="80" t="inlineStr"/>
      <c r="J44" s="80" t="inlineStr"/>
    </row>
    <row r="45">
      <c r="A45" s="77" t="n">
        <v>41</v>
      </c>
      <c r="B45" s="82" t="inlineStr">
        <is>
          <t>Possible duplicate</t>
        </is>
      </c>
      <c r="C45" s="77" t="inlineStr">
        <is>
          <t>City Centre Deira</t>
        </is>
      </c>
      <c r="D45" s="77" t="inlineStr">
        <is>
          <t>UAE</t>
        </is>
      </c>
      <c r="E45" s="77" t="inlineStr">
        <is>
          <t>263 · 289</t>
        </is>
      </c>
      <c r="F45" s="77" t="inlineStr">
        <is>
          <t>The same name appears twice in the country's listings or the A–Z.</t>
        </is>
      </c>
      <c r="G45" s="77" t="inlineStr">
        <is>
          <t>Check the city; merge the records if they are the same property.</t>
        </is>
      </c>
      <c r="H45" s="80" t="inlineStr">
        <is>
          <t>Not Started</t>
        </is>
      </c>
      <c r="I45" s="80" t="inlineStr"/>
      <c r="J45" s="80" t="inlineStr"/>
    </row>
    <row r="46">
      <c r="A46" s="77" t="n">
        <v>42</v>
      </c>
      <c r="B46" s="82" t="inlineStr">
        <is>
          <t>Possible duplicate</t>
        </is>
      </c>
      <c r="C46" s="77" t="inlineStr">
        <is>
          <t>Forsan Central Mall</t>
        </is>
      </c>
      <c r="D46" s="77" t="inlineStr">
        <is>
          <t>UAE</t>
        </is>
      </c>
      <c r="E46" s="77" t="inlineStr">
        <is>
          <t>266 · 267</t>
        </is>
      </c>
      <c r="F46" s="77" t="inlineStr">
        <is>
          <t>The same name appears twice in the country's listings or the A–Z.</t>
        </is>
      </c>
      <c r="G46" s="77" t="inlineStr">
        <is>
          <t>Check the city; merge the records if they are the same property.</t>
        </is>
      </c>
      <c r="H46" s="80" t="inlineStr">
        <is>
          <t>Not Started</t>
        </is>
      </c>
      <c r="I46" s="80" t="inlineStr"/>
      <c r="J46" s="80" t="inlineStr"/>
    </row>
    <row r="47">
      <c r="A47" s="77" t="n">
        <v>43</v>
      </c>
      <c r="B47" s="82" t="inlineStr">
        <is>
          <t>Possible duplicate</t>
        </is>
      </c>
      <c r="C47" s="77" t="inlineStr">
        <is>
          <t>Mercato Shopping Mall</t>
        </is>
      </c>
      <c r="D47" s="77" t="inlineStr">
        <is>
          <t>UAE</t>
        </is>
      </c>
      <c r="E47" s="77" t="inlineStr">
        <is>
          <t>269 · 286</t>
        </is>
      </c>
      <c r="F47" s="77" t="inlineStr">
        <is>
          <t>The same name appears twice in the country's listings or the A–Z.</t>
        </is>
      </c>
      <c r="G47" s="77" t="inlineStr">
        <is>
          <t>Check the city; merge the records if they are the same property.</t>
        </is>
      </c>
      <c r="H47" s="80" t="inlineStr">
        <is>
          <t>Not Started</t>
        </is>
      </c>
      <c r="I47" s="80" t="inlineStr"/>
      <c r="J47" s="80" t="inlineStr"/>
    </row>
    <row r="48">
      <c r="A48" s="77" t="n">
        <v>44</v>
      </c>
      <c r="B48" s="82" t="inlineStr">
        <is>
          <t>Possible duplicate</t>
        </is>
      </c>
      <c r="C48" s="77" t="inlineStr">
        <is>
          <t>Muroor Center</t>
        </is>
      </c>
      <c r="D48" s="77" t="inlineStr">
        <is>
          <t>UAE</t>
        </is>
      </c>
      <c r="E48" s="77" t="inlineStr">
        <is>
          <t>278 (twice)</t>
        </is>
      </c>
      <c r="F48" s="77" t="inlineStr">
        <is>
          <t>The same name appears twice in the country's listings or the A–Z.</t>
        </is>
      </c>
      <c r="G48" s="77" t="inlineStr">
        <is>
          <t>Check the city; merge the records if they are the same property.</t>
        </is>
      </c>
      <c r="H48" s="80" t="inlineStr">
        <is>
          <t>Not Started</t>
        </is>
      </c>
      <c r="I48" s="80" t="inlineStr"/>
      <c r="J48" s="80" t="inlineStr"/>
    </row>
    <row r="49">
      <c r="A49" s="77" t="n">
        <v>45</v>
      </c>
      <c r="B49" s="82" t="inlineStr">
        <is>
          <t>Possible duplicate</t>
        </is>
      </c>
      <c r="C49" s="77" t="inlineStr">
        <is>
          <t>Pixel Plaza / PIXEL PLAZA</t>
        </is>
      </c>
      <c r="D49" s="77" t="inlineStr">
        <is>
          <t>UAE</t>
        </is>
      </c>
      <c r="E49" s="77" t="inlineStr">
        <is>
          <t>293 (twice)</t>
        </is>
      </c>
      <c r="F49" s="77" t="inlineStr">
        <is>
          <t>The same name appears twice in the country's listings or the A–Z.</t>
        </is>
      </c>
      <c r="G49" s="77" t="inlineStr">
        <is>
          <t>Check the city; merge the records if they are the same property.</t>
        </is>
      </c>
      <c r="H49" s="80" t="inlineStr">
        <is>
          <t>Not Started</t>
        </is>
      </c>
      <c r="I49" s="80" t="inlineStr"/>
      <c r="J49" s="80" t="inlineStr"/>
    </row>
    <row r="50">
      <c r="A50" s="77" t="n">
        <v>46</v>
      </c>
      <c r="B50" s="82" t="inlineStr">
        <is>
          <t>Possible duplicate</t>
        </is>
      </c>
      <c r="C50" s="77" t="inlineStr">
        <is>
          <t>Qatar Outlet Village</t>
        </is>
      </c>
      <c r="D50" s="77" t="inlineStr">
        <is>
          <t>Qatar</t>
        </is>
      </c>
      <c r="E50" s="77" t="inlineStr">
        <is>
          <t>203 (twice)</t>
        </is>
      </c>
      <c r="F50" s="77" t="inlineStr">
        <is>
          <t>The same name appears twice in the country's listings or the A–Z.</t>
        </is>
      </c>
      <c r="G50" s="77" t="inlineStr">
        <is>
          <t>Check the city; merge the records if they are the same property.</t>
        </is>
      </c>
      <c r="H50" s="80" t="inlineStr">
        <is>
          <t>Not Started</t>
        </is>
      </c>
      <c r="I50" s="80" t="inlineStr"/>
      <c r="J50" s="80" t="inlineStr"/>
    </row>
    <row r="51">
      <c r="A51" s="77" t="n">
        <v>47</v>
      </c>
      <c r="B51" s="82" t="inlineStr">
        <is>
          <t>Possible duplicate</t>
        </is>
      </c>
      <c r="C51" s="77" t="inlineStr">
        <is>
          <t>Ikeja City Mall</t>
        </is>
      </c>
      <c r="D51" s="77" t="inlineStr">
        <is>
          <t>Nigeria</t>
        </is>
      </c>
      <c r="E51" s="77" t="inlineStr">
        <is>
          <t>180 (twice)</t>
        </is>
      </c>
      <c r="F51" s="77" t="inlineStr">
        <is>
          <t>The same name appears twice in the country's listings or the A–Z.</t>
        </is>
      </c>
      <c r="G51" s="77" t="inlineStr">
        <is>
          <t>Check the city; merge the records if they are the same property.</t>
        </is>
      </c>
      <c r="H51" s="80" t="inlineStr">
        <is>
          <t>Not Started</t>
        </is>
      </c>
      <c r="I51" s="80" t="inlineStr"/>
      <c r="J51" s="80" t="inlineStr"/>
    </row>
    <row r="52">
      <c r="A52" s="77" t="n">
        <v>48</v>
      </c>
      <c r="B52" s="82" t="inlineStr">
        <is>
          <t>Possible duplicate</t>
        </is>
      </c>
      <c r="C52" s="77" t="inlineStr">
        <is>
          <t>Water Front / WATER FRONT</t>
        </is>
      </c>
      <c r="D52" s="77" t="inlineStr">
        <is>
          <t>Oman</t>
        </is>
      </c>
      <c r="E52" s="77" t="inlineStr">
        <is>
          <t>191 (twice)</t>
        </is>
      </c>
      <c r="F52" s="77" t="inlineStr">
        <is>
          <t>The same name appears twice in the country's listings or the A–Z.</t>
        </is>
      </c>
      <c r="G52" s="77" t="inlineStr">
        <is>
          <t>Check the city; merge the records if they are the same property.</t>
        </is>
      </c>
      <c r="H52" s="80" t="inlineStr">
        <is>
          <t>Not Started</t>
        </is>
      </c>
      <c r="I52" s="80" t="inlineStr"/>
      <c r="J52" s="80" t="inlineStr"/>
    </row>
    <row r="53">
      <c r="A53" s="77" t="n">
        <v>49</v>
      </c>
      <c r="B53" s="82" t="inlineStr">
        <is>
          <t>Possible duplicate</t>
        </is>
      </c>
      <c r="C53" s="77" t="inlineStr">
        <is>
          <t>Boulevard Mall</t>
        </is>
      </c>
      <c r="D53" s="77" t="inlineStr">
        <is>
          <t>Pakistan</t>
        </is>
      </c>
      <c r="E53" s="77" t="inlineStr">
        <is>
          <t>193 · 194</t>
        </is>
      </c>
      <c r="F53" s="77" t="inlineStr">
        <is>
          <t>The same name appears twice in the country's listings or the A–Z.</t>
        </is>
      </c>
      <c r="G53" s="77" t="inlineStr">
        <is>
          <t>Check the city; merge the records if they are the same property.</t>
        </is>
      </c>
      <c r="H53" s="80" t="inlineStr">
        <is>
          <t>Not Started</t>
        </is>
      </c>
      <c r="I53" s="80" t="inlineStr"/>
      <c r="J53" s="80" t="inlineStr"/>
    </row>
    <row r="54">
      <c r="A54" s="77" t="n">
        <v>50</v>
      </c>
      <c r="B54" s="82" t="inlineStr">
        <is>
          <t>Possible duplicate</t>
        </is>
      </c>
      <c r="C54" s="77" t="inlineStr">
        <is>
          <t>Jasmine Mall</t>
        </is>
      </c>
      <c r="D54" s="77" t="inlineStr">
        <is>
          <t>Pakistan</t>
        </is>
      </c>
      <c r="E54" s="77" t="inlineStr">
        <is>
          <t>194 · 197</t>
        </is>
      </c>
      <c r="F54" s="77" t="inlineStr">
        <is>
          <t>The same name appears twice in the country's listings or the A–Z.</t>
        </is>
      </c>
      <c r="G54" s="77" t="inlineStr">
        <is>
          <t>Check the city; merge the records if they are the same property.</t>
        </is>
      </c>
      <c r="H54" s="80" t="inlineStr">
        <is>
          <t>Not Started</t>
        </is>
      </c>
      <c r="I54" s="80" t="inlineStr"/>
      <c r="J54" s="80" t="inlineStr"/>
    </row>
    <row r="56" ht="40" customHeight="1" s="72">
      <c r="B56" s="84" t="inlineStr">
        <is>
          <t>Cause of the missing cards: the plan sizes mixed-use pages at 6 cards (the '6/pp' in 04 Flat Plan) and the pagination splits records in sixes, but the mixed-use page template only has room for 4, so cards 5 and 6 of every page are dropped. Fixing the template keeps all 384 pages where they are; staying at 4 per page would need 12 more pages.</t>
        </is>
      </c>
    </row>
  </sheetData>
  <autoFilter ref="A4:J54"/>
  <mergeCells count="3">
    <mergeCell ref="B56:J56"/>
    <mergeCell ref="A1:F1"/>
    <mergeCell ref="A2:J2"/>
  </mergeCells>
  <dataValidations count="1">
    <dataValidation sqref="H5:H94" showDropDown="0" showInputMessage="0" showErrorMessage="0" allowBlank="1" type="list">
      <formula1>"Not Started,Fixed in dataset,Checked — keep,Rejected"</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fitToPage="1"/>
  </sheetPr>
  <dimension ref="A1:H34"/>
  <sheetViews>
    <sheetView showGridLines="0"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4.25"/>
  <cols>
    <col width="6" customWidth="1" style="72" min="1" max="1"/>
    <col width="36" customWidth="1" style="72" min="2" max="2"/>
    <col width="20" customWidth="1" style="72" min="3" max="3"/>
    <col width="16" customWidth="1" style="72" min="4" max="4"/>
    <col width="34" customWidth="1" style="72" min="5" max="5"/>
    <col width="14" customWidth="1" style="72" min="6" max="6"/>
    <col width="16" customWidth="1" style="72" min="7" max="7"/>
  </cols>
  <sheetData>
    <row r="1" ht="17.65" customHeight="1" s="72">
      <c r="A1" s="73" t="inlineStr">
        <is>
          <t>OVERVIEW — all entitlements and delivery status</t>
        </is>
      </c>
    </row>
    <row r="2">
      <c r="A2" s="74" t="inlineStr">
        <is>
          <t>Every signed company against every entitlement. Counts below update from the section sheets.</t>
        </is>
      </c>
    </row>
    <row r="4" ht="32" customHeight="1" s="72">
      <c r="A4" s="6" t="inlineStr">
        <is>
          <t>SN</t>
        </is>
      </c>
      <c r="B4" s="6" t="inlineStr">
        <is>
          <t>COMPANY</t>
        </is>
      </c>
      <c r="C4" s="6" t="inlineStr">
        <is>
          <t>TIER</t>
        </is>
      </c>
      <c r="D4" s="6" t="inlineStr">
        <is>
          <t>DIRECTORY AD</t>
        </is>
      </c>
      <c r="E4" s="6" t="inlineStr">
        <is>
          <t>RPM AD</t>
        </is>
      </c>
      <c r="F4" s="6" t="inlineStr">
        <is>
          <t>RPM PROFILE</t>
        </is>
      </c>
      <c r="G4" s="6" t="inlineStr">
        <is>
          <t>CORPORATE SEATS</t>
        </is>
      </c>
    </row>
    <row r="5" s="72">
      <c r="A5" s="8" t="n">
        <v>1</v>
      </c>
      <c r="B5" s="9" t="inlineStr">
        <is>
          <t>CENOMI CENTERS</t>
        </is>
      </c>
      <c r="C5" s="10" t="inlineStr">
        <is>
          <t>1. DIAMOND SPONSOR</t>
        </is>
      </c>
      <c r="D5" s="8" t="inlineStr">
        <is>
          <t>Double Page</t>
        </is>
      </c>
      <c r="E5" s="9" t="inlineStr">
        <is>
          <t>Double Page</t>
        </is>
      </c>
      <c r="F5" s="8" t="inlineStr">
        <is>
          <t>Yes</t>
        </is>
      </c>
      <c r="G5" s="8" t="n">
        <v>35</v>
      </c>
    </row>
    <row r="6" s="72">
      <c r="A6" s="8" t="n">
        <v>2</v>
      </c>
      <c r="B6" s="9" t="inlineStr">
        <is>
          <t>UNIFIED REAL ESTATE DEVELOPMENT</t>
        </is>
      </c>
      <c r="C6" s="10" t="inlineStr">
        <is>
          <t>1. DIAMOND SPONSOR</t>
        </is>
      </c>
      <c r="D6" s="8" t="inlineStr">
        <is>
          <t>Double Page</t>
        </is>
      </c>
      <c r="E6" s="9" t="inlineStr">
        <is>
          <t>Double Page</t>
        </is>
      </c>
      <c r="F6" s="8" t="inlineStr">
        <is>
          <t>Yes</t>
        </is>
      </c>
      <c r="G6" s="8" t="n">
        <v>20</v>
      </c>
    </row>
    <row r="7" s="72">
      <c r="A7" s="8" t="n">
        <v>3</v>
      </c>
      <c r="B7" s="9" t="inlineStr">
        <is>
          <t>AL OTHAIM INVESTMENT</t>
        </is>
      </c>
      <c r="C7" s="10" t="inlineStr">
        <is>
          <t>1. DIAMOND SPONSOR</t>
        </is>
      </c>
      <c r="D7" s="8" t="inlineStr">
        <is>
          <t>Double Page</t>
        </is>
      </c>
      <c r="E7" s="9" t="inlineStr">
        <is>
          <t>Double Page</t>
        </is>
      </c>
      <c r="F7" s="8" t="inlineStr">
        <is>
          <t>Yes</t>
        </is>
      </c>
      <c r="G7" s="8" t="n">
        <v>20</v>
      </c>
    </row>
    <row r="8" ht="25.5" customHeight="1" s="72">
      <c r="A8" s="8" t="n">
        <v>4</v>
      </c>
      <c r="B8" s="9" t="inlineStr">
        <is>
          <t>AZAD PROPERTIES | RED MALLS</t>
        </is>
      </c>
      <c r="C8" s="10" t="inlineStr">
        <is>
          <t>1. DIAMOND SPONSOR</t>
        </is>
      </c>
      <c r="D8" s="8" t="inlineStr">
        <is>
          <t>Double Page</t>
        </is>
      </c>
      <c r="E8" s="9" t="inlineStr">
        <is>
          <t>Double Page  +  1 Full Page Ad (Q2 &amp; Q3, add-on)</t>
        </is>
      </c>
      <c r="F8" s="8" t="inlineStr">
        <is>
          <t>Yes</t>
        </is>
      </c>
      <c r="G8" s="8" t="n">
        <v>20</v>
      </c>
    </row>
    <row r="9" s="72">
      <c r="A9" s="8" t="n">
        <v>5</v>
      </c>
      <c r="B9" s="9" t="inlineStr">
        <is>
          <t>KNOWLEDGE ECONOMIC CITY CO.</t>
        </is>
      </c>
      <c r="C9" s="12" t="inlineStr">
        <is>
          <t>2. PLATINUM SPONSOR</t>
        </is>
      </c>
      <c r="D9" s="8" t="inlineStr">
        <is>
          <t>Double Page</t>
        </is>
      </c>
      <c r="E9" s="9" t="inlineStr">
        <is>
          <t>Double Page</t>
        </is>
      </c>
      <c r="F9" s="8" t="inlineStr">
        <is>
          <t>Yes</t>
        </is>
      </c>
      <c r="G9" s="8" t="n">
        <v>10</v>
      </c>
    </row>
    <row r="10" s="72">
      <c r="A10" s="8" t="n">
        <v>6</v>
      </c>
      <c r="B10" s="9" t="inlineStr">
        <is>
          <t>RED SEA MALLS</t>
        </is>
      </c>
      <c r="C10" s="12" t="inlineStr">
        <is>
          <t>2. PLATINUM SPONSOR</t>
        </is>
      </c>
      <c r="D10" s="8" t="inlineStr">
        <is>
          <t>Double Page</t>
        </is>
      </c>
      <c r="E10" s="9" t="inlineStr">
        <is>
          <t>Double Page</t>
        </is>
      </c>
      <c r="F10" s="8" t="inlineStr">
        <is>
          <t>Yes</t>
        </is>
      </c>
      <c r="G10" s="8" t="n">
        <v>16</v>
      </c>
    </row>
    <row r="11" s="72">
      <c r="A11" s="8" t="n">
        <v>7</v>
      </c>
      <c r="B11" s="9" t="inlineStr">
        <is>
          <t>DANAH REAL ESTATE</t>
        </is>
      </c>
      <c r="C11" s="13" t="inlineStr">
        <is>
          <t>3. GOLD SPONSOR</t>
        </is>
      </c>
      <c r="D11" s="8" t="inlineStr">
        <is>
          <t>Single Page</t>
        </is>
      </c>
      <c r="E11" s="9" t="inlineStr">
        <is>
          <t>Single Page</t>
        </is>
      </c>
      <c r="F11" s="8" t="inlineStr">
        <is>
          <t>Yes</t>
        </is>
      </c>
      <c r="G11" s="8" t="n">
        <v>12</v>
      </c>
    </row>
    <row r="12" s="72">
      <c r="A12" s="8" t="n">
        <v>8</v>
      </c>
      <c r="B12" s="9" t="inlineStr">
        <is>
          <t>DALMA MALL</t>
        </is>
      </c>
      <c r="C12" s="13" t="inlineStr">
        <is>
          <t>3. GOLD SPONSOR</t>
        </is>
      </c>
      <c r="D12" s="8" t="inlineStr">
        <is>
          <t>Single Page</t>
        </is>
      </c>
      <c r="E12" s="9" t="inlineStr">
        <is>
          <t>Single Page</t>
        </is>
      </c>
      <c r="F12" s="8" t="inlineStr">
        <is>
          <t>Yes</t>
        </is>
      </c>
      <c r="G12" s="8" t="n">
        <v>15</v>
      </c>
    </row>
    <row r="13" s="72">
      <c r="A13" s="8" t="n">
        <v>9</v>
      </c>
      <c r="B13" s="9" t="inlineStr">
        <is>
          <t>YARDI SYSTEMS</t>
        </is>
      </c>
      <c r="C13" s="8" t="inlineStr">
        <is>
          <t>4. SILVER SPONSOR</t>
        </is>
      </c>
      <c r="D13" s="63" t="inlineStr">
        <is>
          <t>—</t>
        </is>
      </c>
      <c r="E13" s="9" t="inlineStr">
        <is>
          <t>Single Page</t>
        </is>
      </c>
      <c r="F13" s="8" t="inlineStr">
        <is>
          <t>Yes</t>
        </is>
      </c>
      <c r="G13" s="8" t="n">
        <v>4</v>
      </c>
    </row>
    <row r="14" s="72">
      <c r="A14" s="8" t="n">
        <v>10</v>
      </c>
      <c r="B14" s="9" t="inlineStr">
        <is>
          <t>CHAMPION GROUP</t>
        </is>
      </c>
      <c r="C14" s="8" t="inlineStr">
        <is>
          <t>4. SILVER SPONSOR</t>
        </is>
      </c>
      <c r="D14" s="8" t="inlineStr">
        <is>
          <t>Single Page (provisional)</t>
        </is>
      </c>
      <c r="E14" s="15" t="inlineStr">
        <is>
          <t>—</t>
        </is>
      </c>
      <c r="F14" s="8" t="inlineStr">
        <is>
          <t>Yes</t>
        </is>
      </c>
      <c r="G14" s="8" t="n">
        <v>2</v>
      </c>
    </row>
    <row r="15" s="72">
      <c r="A15" s="8" t="n">
        <v>11</v>
      </c>
      <c r="B15" s="9" t="inlineStr">
        <is>
          <t>MRI SOFTWARE</t>
        </is>
      </c>
      <c r="C15" s="14" t="inlineStr">
        <is>
          <t>5. BRONZE SPONSOR</t>
        </is>
      </c>
      <c r="D15" s="63" t="inlineStr">
        <is>
          <t>—</t>
        </is>
      </c>
      <c r="E15" s="15" t="inlineStr">
        <is>
          <t>—</t>
        </is>
      </c>
      <c r="F15" s="8" t="inlineStr">
        <is>
          <t>Yes</t>
        </is>
      </c>
      <c r="G15" s="8" t="n">
        <v>4</v>
      </c>
    </row>
    <row r="16" s="72">
      <c r="A16" s="8" t="n">
        <v>12</v>
      </c>
      <c r="B16" s="9" t="inlineStr">
        <is>
          <t>GIFTSTARR</t>
        </is>
      </c>
      <c r="C16" s="14" t="inlineStr">
        <is>
          <t>5. BRONZE SPONSOR</t>
        </is>
      </c>
      <c r="D16" s="63" t="inlineStr">
        <is>
          <t>—</t>
        </is>
      </c>
      <c r="E16" s="15" t="inlineStr">
        <is>
          <t>—</t>
        </is>
      </c>
      <c r="F16" s="8" t="inlineStr">
        <is>
          <t>Yes</t>
        </is>
      </c>
      <c r="G16" s="8" t="n">
        <v>4</v>
      </c>
    </row>
    <row r="17" s="72">
      <c r="A17" s="8" t="n">
        <v>13</v>
      </c>
      <c r="B17" s="9" t="inlineStr">
        <is>
          <t>BURJUMAN</t>
        </is>
      </c>
      <c r="C17" s="14" t="inlineStr">
        <is>
          <t>5. BRONZE SPONSOR</t>
        </is>
      </c>
      <c r="D17" s="63" t="inlineStr">
        <is>
          <t>—</t>
        </is>
      </c>
      <c r="E17" s="9" t="inlineStr">
        <is>
          <t>Single Page</t>
        </is>
      </c>
      <c r="F17" s="8" t="inlineStr">
        <is>
          <t>Yes</t>
        </is>
      </c>
      <c r="G17" s="8" t="n">
        <v>4</v>
      </c>
    </row>
    <row r="18" s="72">
      <c r="A18" s="8" t="n">
        <v>14</v>
      </c>
      <c r="B18" s="9" t="inlineStr">
        <is>
          <t>GROUND CONTROL ENTERTAINMENT</t>
        </is>
      </c>
      <c r="C18" s="14" t="inlineStr">
        <is>
          <t>5. BRONZE SPONSOR</t>
        </is>
      </c>
      <c r="D18" s="63" t="inlineStr">
        <is>
          <t>—</t>
        </is>
      </c>
      <c r="E18" s="15" t="inlineStr">
        <is>
          <t>—</t>
        </is>
      </c>
      <c r="F18" s="63" t="inlineStr">
        <is>
          <t>—</t>
        </is>
      </c>
      <c r="G18" s="8" t="n">
        <v>3</v>
      </c>
    </row>
    <row r="19" s="72">
      <c r="A19" s="8" t="n">
        <v>15</v>
      </c>
      <c r="B19" s="9" t="inlineStr">
        <is>
          <t>KINGDOM CENTRE</t>
        </is>
      </c>
      <c r="C19" s="14" t="inlineStr">
        <is>
          <t>5. BRONZE SPONSOR</t>
        </is>
      </c>
      <c r="D19" s="63" t="inlineStr">
        <is>
          <t>—</t>
        </is>
      </c>
      <c r="E19" s="9" t="inlineStr">
        <is>
          <t>Single Page</t>
        </is>
      </c>
      <c r="F19" s="8" t="inlineStr">
        <is>
          <t>Yes</t>
        </is>
      </c>
      <c r="G19" s="8" t="n">
        <v>8</v>
      </c>
    </row>
    <row r="20" ht="25.5" customHeight="1" s="72">
      <c r="A20" s="8" t="n">
        <v>16</v>
      </c>
      <c r="B20" s="9" t="inlineStr">
        <is>
          <t>AMUSEMENT SERVICES INTERNATIONAL LLC</t>
        </is>
      </c>
      <c r="C20" s="16" t="inlineStr">
        <is>
          <t>19. EXHIBITOR</t>
        </is>
      </c>
      <c r="D20" s="63" t="inlineStr">
        <is>
          <t>—</t>
        </is>
      </c>
      <c r="E20" s="15" t="inlineStr">
        <is>
          <t>—</t>
        </is>
      </c>
      <c r="F20" s="8" t="inlineStr">
        <is>
          <t>Yes</t>
        </is>
      </c>
      <c r="G20" s="8" t="n">
        <v>2</v>
      </c>
    </row>
    <row r="21" s="72">
      <c r="A21" s="8" t="n">
        <v>17</v>
      </c>
      <c r="B21" s="9" t="inlineStr">
        <is>
          <t>DHAMANI</t>
        </is>
      </c>
      <c r="C21" s="16" t="inlineStr">
        <is>
          <t>15. SUPPORT PARTNER</t>
        </is>
      </c>
      <c r="D21" s="63" t="inlineStr">
        <is>
          <t>—</t>
        </is>
      </c>
      <c r="E21" s="15" t="inlineStr">
        <is>
          <t>—</t>
        </is>
      </c>
      <c r="F21" s="8" t="inlineStr">
        <is>
          <t>Yes — half page (RECON edition)</t>
        </is>
      </c>
      <c r="G21" s="63" t="inlineStr">
        <is>
          <t>—</t>
        </is>
      </c>
    </row>
    <row r="22" s="72">
      <c r="A22" s="8" t="n">
        <v>18</v>
      </c>
      <c r="B22" s="9" t="inlineStr">
        <is>
          <t>ELEVA AI</t>
        </is>
      </c>
      <c r="C22" s="16" t="inlineStr">
        <is>
          <t>15. SUPPORT PARTNER</t>
        </is>
      </c>
      <c r="D22" s="63" t="inlineStr">
        <is>
          <t>—</t>
        </is>
      </c>
      <c r="E22" s="15" t="inlineStr">
        <is>
          <t>—</t>
        </is>
      </c>
      <c r="F22" s="8" t="inlineStr">
        <is>
          <t>Yes — half page (RECON edition)</t>
        </is>
      </c>
      <c r="G22" s="63" t="inlineStr">
        <is>
          <t>—</t>
        </is>
      </c>
    </row>
    <row r="23" s="72">
      <c r="C23" s="17" t="inlineStr">
        <is>
          <t>TOTAL SEATS</t>
        </is>
      </c>
      <c r="G23" s="18">
        <f>SUM(G5:G22)</f>
        <v/>
      </c>
    </row>
    <row r="24" s="72"/>
    <row r="25" s="72"/>
    <row r="26" s="72">
      <c r="A26" s="32" t="inlineStr">
        <is>
          <t>DELIVERY STATUS</t>
        </is>
      </c>
    </row>
    <row r="27" ht="26" customHeight="1" s="72">
      <c r="A27" s="6" t="inlineStr">
        <is>
          <t>DELIVERABLE</t>
        </is>
      </c>
      <c r="B27" s="6" t="inlineStr">
        <is>
          <t>OWED</t>
        </is>
      </c>
      <c r="C27" s="6" t="inlineStr">
        <is>
          <t>NOT STARTED</t>
        </is>
      </c>
      <c r="D27" s="6" t="inlineStr">
        <is>
          <t>REQUESTED</t>
        </is>
      </c>
      <c r="E27" s="6" t="inlineStr">
        <is>
          <t>IN PROGRESS</t>
        </is>
      </c>
      <c r="F27" s="6" t="inlineStr">
        <is>
          <t>RECEIVED</t>
        </is>
      </c>
      <c r="G27" s="6" t="inlineStr">
        <is>
          <t>APPROVED</t>
        </is>
      </c>
      <c r="H27" s="6" t="inlineStr">
        <is>
          <t>PLACED</t>
        </is>
      </c>
    </row>
    <row r="28" s="72">
      <c r="A28" s="61" t="inlineStr">
        <is>
          <t>RPM advertising</t>
        </is>
      </c>
      <c r="B28" s="49">
        <f>COUNTIF('01 RPM'!D5:D100,"*Page*")</f>
        <v/>
      </c>
      <c r="C28" s="49">
        <f>COUNTIF('01 RPM'!H5:H100,"Not Started")</f>
        <v/>
      </c>
      <c r="D28" s="49">
        <f>COUNTIF('01 RPM'!H5:H100,"Requested")</f>
        <v/>
      </c>
      <c r="E28" s="49">
        <f>COUNTIF('01 RPM'!H5:H100,"In Progress")</f>
        <v/>
      </c>
      <c r="F28" s="49">
        <f>COUNTIF('01 RPM'!H5:H100,"Received")</f>
        <v/>
      </c>
      <c r="G28" s="49">
        <f>COUNTIF('01 RPM'!H5:H100,"Approved")</f>
        <v/>
      </c>
      <c r="H28" s="49">
        <f>COUNTIF('01 RPM'!H5:H100,"Placed")</f>
        <v/>
      </c>
    </row>
    <row r="29" s="72">
      <c r="A29" s="61" t="inlineStr">
        <is>
          <t>RPM profiles</t>
        </is>
      </c>
      <c r="B29" s="49">
        <f>COUNTIF('01 RPM'!E5:E100,"Yes*")</f>
        <v/>
      </c>
      <c r="C29" s="49">
        <f>COUNTIF('01 RPM'!K5:K100,"Not Started")</f>
        <v/>
      </c>
      <c r="D29" s="49">
        <f>COUNTIF('01 RPM'!K5:K100,"Requested")</f>
        <v/>
      </c>
      <c r="E29" s="49">
        <f>COUNTIF('01 RPM'!K5:K100,"In Progress")</f>
        <v/>
      </c>
      <c r="F29" s="49">
        <f>COUNTIF('01 RPM'!K5:K100,"Received")</f>
        <v/>
      </c>
      <c r="G29" s="49">
        <f>COUNTIF('01 RPM'!K5:K100,"Approved")</f>
        <v/>
      </c>
      <c r="H29" s="49">
        <f>COUNTIF('01 RPM'!K5:K100,"Placed")</f>
        <v/>
      </c>
    </row>
    <row r="30" s="72">
      <c r="A30" s="61" t="inlineStr">
        <is>
          <t>Directory ads</t>
        </is>
      </c>
      <c r="B30" s="49">
        <f>COUNTA('02 Ads'!A5:A100)</f>
        <v/>
      </c>
      <c r="C30" s="49">
        <f>COUNTIF('02 Ads'!G5:G100,"Not Started")</f>
        <v/>
      </c>
      <c r="D30" s="49">
        <f>COUNTIF('02 Ads'!G5:G100,"Requested")</f>
        <v/>
      </c>
      <c r="E30" s="49">
        <f>COUNTIF('02 Ads'!G5:G100,"In Progress")</f>
        <v/>
      </c>
      <c r="F30" s="49">
        <f>COUNTIF('02 Ads'!G5:G100,"Received")</f>
        <v/>
      </c>
      <c r="G30" s="49">
        <f>COUNTIF('02 Ads'!G5:G100,"Approved")</f>
        <v/>
      </c>
      <c r="H30" s="49">
        <f>COUNTIF('02 Ads'!G5:G100,"Placed")</f>
        <v/>
      </c>
    </row>
    <row r="31" s="72">
      <c r="A31" s="61" t="inlineStr">
        <is>
          <t>Corporate members</t>
        </is>
      </c>
      <c r="B31" s="49">
        <f>COUNTA('03 Corporate Members'!A5:A100)</f>
        <v/>
      </c>
      <c r="C31" s="49">
        <f>COUNTIF('03 Corporate Members'!I5:I100,"Not Started")</f>
        <v/>
      </c>
      <c r="D31" s="49">
        <f>COUNTIF('03 Corporate Members'!I5:I100,"Requested")</f>
        <v/>
      </c>
      <c r="E31" s="49">
        <f>COUNTIF('03 Corporate Members'!I5:I100,"In Progress")</f>
        <v/>
      </c>
      <c r="F31" s="49">
        <f>COUNTIF('03 Corporate Members'!I5:I100,"Received")</f>
        <v/>
      </c>
      <c r="G31" s="49">
        <f>COUNTIF('03 Corporate Members'!I5:I100,"Approved")</f>
        <v/>
      </c>
      <c r="H31" s="49">
        <f>COUNTIF('03 Corporate Members'!I5:I100,"Placed")</f>
        <v/>
      </c>
    </row>
    <row r="32" s="72">
      <c r="A32" s="70" t="inlineStr">
        <is>
          <t>TOTAL</t>
        </is>
      </c>
      <c r="B32" s="18">
        <f>SUM(B28:B31)</f>
        <v/>
      </c>
      <c r="C32" s="18">
        <f>SUM(C28:C31)</f>
        <v/>
      </c>
      <c r="D32" s="18">
        <f>SUM(D28:D31)</f>
        <v/>
      </c>
      <c r="E32" s="18">
        <f>SUM(E28:E31)</f>
        <v/>
      </c>
      <c r="F32" s="18">
        <f>SUM(F28:F31)</f>
        <v/>
      </c>
      <c r="G32" s="18">
        <f>SUM(G28:G31)</f>
        <v/>
      </c>
      <c r="H32" s="18">
        <f>SUM(H28:H31)</f>
        <v/>
      </c>
    </row>
    <row r="33" s="72"/>
    <row r="34" ht="40" customHeight="1" s="72">
      <c r="A34" s="86" t="inlineStr">
        <is>
          <t>Not on this sheet: Awwal Events (value-in-kind; acceptance page unsigned; print presence in RPM and/or the Directory still 'TBC'), ESAS Properties (Dealmaking VIP room only) and ten media and support partners with no publication or seat entitlement. Source: RCM matrix of 8 Oct 2026; seat counts for MRI Software, Kingdom Centre and Ground Control checked against the signed contracts.</t>
        </is>
      </c>
    </row>
    <row r="35" s="72"/>
    <row r="36" s="72"/>
    <row r="37" s="72"/>
    <row r="38" s="72"/>
    <row r="39" s="72"/>
    <row r="40" s="72"/>
  </sheetData>
  <mergeCells count="3">
    <mergeCell ref="A2:G2"/>
    <mergeCell ref="A1:E1"/>
    <mergeCell ref="A34:H34"/>
  </mergeCells>
  <pageMargins left="0.75" right="0.75" top="1" bottom="1" header="0.5" footer="0.5"/>
  <pageSetup orientation="landscape" fitToHeight="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2026-09-04T19:51:50Z</dcterms:created>
  <dcterms:modified xmlns:dcterms="http://purl.org/dc/terms/" xmlns:xsi="http://www.w3.org/2001/XMLSchema-instance" xsi:type="dcterms:W3CDTF">2026-10-13T03:33:14Z</dcterms:modified>
  <cp:lastModifiedBy>Orient Attaban</cp:lastModifiedBy>
</cp:coreProperties>
</file>
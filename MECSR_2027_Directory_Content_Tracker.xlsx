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RPM" sheetId="2" state="visible" r:id="rId2"/>
    <sheet xmlns:r="http://schemas.openxmlformats.org/officeDocument/2006/relationships" name="02 Ads" sheetId="3" state="visible" r:id="rId3"/>
    <sheet xmlns:r="http://schemas.openxmlformats.org/officeDocument/2006/relationships" name="03 Corporate Members" sheetId="4" state="visible" r:id="rId4"/>
    <sheet xmlns:r="http://schemas.openxmlformats.org/officeDocument/2006/relationships" name="04 Flat Plan" sheetId="5" state="visible" r:id="rId5"/>
    <sheet xmlns:r="http://schemas.openxmlformats.org/officeDocument/2006/relationships" name="05 Service Providers" sheetId="6" state="visible" r:id="rId6"/>
    <sheet xmlns:r="http://schemas.openxmlformats.org/officeDocument/2006/relationships" name="06 Expert Views" sheetId="7" state="visible" r:id="rId7"/>
    <sheet xmlns:r="http://schemas.openxmlformats.org/officeDocument/2006/relationships" name="Overview" sheetId="8" state="visible" r:id="rId8"/>
  </sheets>
  <definedNames>
    <definedName name="_xlnm._FilterDatabase" localSheetId="1" hidden="1">'01 RPM'!$A$4:$M$17</definedName>
    <definedName name="_xlnm.Print_Titles" localSheetId="1">'01 RPM'!$4:$4</definedName>
    <definedName name="_xlnm._FilterDatabase" localSheetId="2" hidden="1">'02 Ads'!$A$4:$I$12</definedName>
    <definedName name="_xlnm.Print_Titles" localSheetId="2">'02 Ads'!$4:$4</definedName>
    <definedName name="_xlnm._FilterDatabase" localSheetId="3" hidden="1">'03 Corporate Members'!$A$4:$K$17</definedName>
    <definedName name="_xlnm.Print_Titles" localSheetId="3">'03 Corporate Members'!$4:$4</definedName>
    <definedName name="_xlnm._FilterDatabase" localSheetId="4" hidden="1">'04 Flat Plan'!$A$4:$P$95</definedName>
    <definedName name="_xlnm.Print_Titles" localSheetId="4">'04 Flat Plan'!$4:$4</definedName>
    <definedName name="_xlnm._FilterDatabase" localSheetId="5" hidden="1">'05 Service Providers'!$A$4:$M$23</definedName>
    <definedName name="_xlnm.Print_Titles" localSheetId="5">'05 Service Providers'!$4:$4</definedName>
    <definedName name="_xlnm._FilterDatabase" localSheetId="6" hidden="1">'06 Expert Views'!$A$4:$P$13</definedName>
    <definedName name="_xlnm.Print_Titles" localSheetId="6">'06 Expert Views'!$4:$4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12365E"/>
      <sz val="16"/>
    </font>
    <font>
      <name val="Arial"/>
      <color rgb="006E6C64"/>
      <sz val="9.5"/>
    </font>
    <font>
      <name val="Arial"/>
      <sz val="10"/>
    </font>
    <font>
      <name val="Arial"/>
      <b val="1"/>
      <sz val="10"/>
    </font>
    <font>
      <name val="Arial"/>
      <b val="1"/>
      <color rgb="0012365E"/>
      <sz val="14"/>
    </font>
    <font>
      <name val="Arial"/>
      <b val="1"/>
      <color rgb="00FFFFFF"/>
      <sz val="9.5"/>
    </font>
    <font>
      <name val="Arial"/>
      <color rgb="000000FF"/>
      <sz val="10"/>
    </font>
    <font>
      <name val="Arial"/>
      <color rgb="00A6A6A6"/>
      <sz val="10"/>
    </font>
    <font>
      <name val="Arial"/>
      <color rgb="006B5510"/>
      <sz val="9"/>
    </font>
    <font>
      <name val="Arial"/>
      <b val="1"/>
      <color rgb="0012365E"/>
      <sz val="10"/>
    </font>
    <font>
      <name val="Arial"/>
      <b val="1"/>
      <color rgb="00B8860B"/>
      <sz val="10"/>
    </font>
    <font>
      <name val="Arial"/>
      <b val="1"/>
      <color rgb="008A6D1F"/>
      <sz val="10"/>
    </font>
    <font>
      <name val="Arial"/>
      <b val="1"/>
      <color rgb="003A3934"/>
      <sz val="10"/>
    </font>
    <font>
      <name val="Arial"/>
      <b val="1"/>
      <color rgb="009C4221"/>
      <sz val="10"/>
    </font>
    <font>
      <name val="Arial"/>
      <b val="1"/>
      <color rgb="008E44AD"/>
      <sz val="10"/>
    </font>
    <font>
      <name val="Arial"/>
      <b val="1"/>
      <color rgb="001F7A5C"/>
      <sz val="10"/>
    </font>
    <font>
      <name val="Arial"/>
      <b val="1"/>
      <color rgb="000F6FA8"/>
      <sz val="10"/>
    </font>
    <font>
      <name val="Arial"/>
      <b val="1"/>
      <color rgb="00B03060"/>
      <sz val="10"/>
    </font>
    <font>
      <name val="Arial"/>
      <b val="1"/>
      <color rgb="006E6C64"/>
      <sz val="10"/>
    </font>
    <font>
      <name val="Arial"/>
      <b val="1"/>
      <color rgb="0012365E"/>
      <sz val="11"/>
    </font>
    <font>
      <name val="Arial"/>
      <b val="1"/>
      <color rgb="00C0392B"/>
      <sz val="11"/>
    </font>
    <font>
      <name val="Arial"/>
      <color rgb="0012365E"/>
      <sz val="10"/>
    </font>
  </fonts>
  <fills count="13">
    <fill>
      <patternFill/>
    </fill>
    <fill>
      <patternFill patternType="gray125"/>
    </fill>
    <fill>
      <patternFill patternType="solid">
        <fgColor rgb="0012365E"/>
      </patternFill>
    </fill>
    <fill>
      <patternFill patternType="solid">
        <fgColor rgb="00B8860B"/>
      </patternFill>
    </fill>
    <fill>
      <patternFill patternType="solid">
        <fgColor rgb="00E3EEFB"/>
      </patternFill>
    </fill>
    <fill>
      <patternFill patternType="solid">
        <fgColor rgb="00FFF2CC"/>
      </patternFill>
    </fill>
    <fill>
      <patternFill patternType="solid">
        <fgColor rgb="00EFEEEA"/>
      </patternFill>
    </fill>
    <fill>
      <patternFill patternType="solid">
        <fgColor rgb="00F7ECD2"/>
      </patternFill>
    </fill>
    <fill>
      <patternFill patternType="solid">
        <fgColor rgb="00FDEAE1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E3F4E8"/>
      </patternFill>
    </fill>
    <fill>
      <patternFill patternType="solid">
        <fgColor rgb="00FDF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3" fillId="5" borderId="1" pivotButton="0" quotePrefix="0" xfId="0"/>
    <xf numFmtId="0" fontId="7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10" fillId="10" borderId="1" pivotButton="0" quotePrefix="0" xfId="0"/>
    <xf numFmtId="0" fontId="10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0" fillId="0" borderId="0" pivotButton="0" quotePrefix="0" xfId="0"/>
    <xf numFmtId="0" fontId="6" fillId="2" borderId="1" applyAlignment="1" pivotButton="0" quotePrefix="0" xfId="0">
      <alignment horizontal="center"/>
    </xf>
    <xf numFmtId="0" fontId="1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11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4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9" fillId="0" borderId="1" pivotButton="0" quotePrefix="0" xfId="0"/>
    <xf numFmtId="0" fontId="4" fillId="10" borderId="1" pivotButton="0" quotePrefix="0" xfId="0"/>
    <xf numFmtId="0" fontId="10" fillId="10" borderId="1" applyAlignment="1" pivotButton="0" quotePrefix="0" xfId="0">
      <alignment horizontal="center"/>
    </xf>
    <xf numFmtId="164" fontId="10" fillId="1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1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9" fillId="0" borderId="0" pivotButton="0" quotePrefix="0" xfId="0"/>
    <xf numFmtId="165" fontId="1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/>
    </xf>
    <xf numFmtId="166" fontId="10" fillId="1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3" fillId="5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21" fillId="0" borderId="0" pivotButton="0" quotePrefix="0" xfId="0"/>
    <xf numFmtId="0" fontId="22" fillId="0" borderId="1" applyAlignment="1" pivotButton="0" quotePrefix="0" xfId="0">
      <alignment horizontal="center"/>
    </xf>
    <xf numFmtId="0" fontId="7" fillId="11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7" fillId="12" borderId="1" applyAlignment="1" pivotButton="0" quotePrefix="0" xfId="0">
      <alignment vertical="top"/>
    </xf>
    <xf numFmtId="0" fontId="22" fillId="0" borderId="1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MECSR DIRECTORY 2027 — CONTENT TRACKER</t>
        </is>
      </c>
    </row>
    <row r="2">
      <c r="A2" s="2" t="inlineStr">
        <is>
          <t>What each signed partner is owed in the 2027 Directory, and the 384-page plan it all has to fit into.</t>
        </is>
      </c>
    </row>
    <row r="4">
      <c r="A4" s="3" t="inlineStr"/>
      <c r="B4" s="4" t="inlineStr"/>
    </row>
    <row r="5">
      <c r="A5" s="5" t="inlineStr">
        <is>
          <t>SOURCE</t>
        </is>
      </c>
      <c r="B5" s="4" t="inlineStr">
        <is>
          <t>RCM_2026_FINAL_MATRIX_v2.xlsx › sheet 'Sponsor Matrix' (OneDrive: 01. RCM PROPOSAL SIGNED), refreshed 4 Sep 2026 — 13 signed agreements, USD 1,038,198 net. Membership from your membership workbook; listings from the Brilliant Directories export of 3 Sep 2026.</t>
        </is>
      </c>
    </row>
    <row r="6">
      <c r="A6" s="3" t="inlineStr"/>
      <c r="B6" s="4" t="inlineStr"/>
    </row>
    <row r="7">
      <c r="A7" s="5" t="inlineStr">
        <is>
          <t>HOW TO USE</t>
        </is>
      </c>
      <c r="B7" s="4" t="inlineStr"/>
    </row>
    <row r="8">
      <c r="A8" s="5" t="inlineStr">
        <is>
          <t xml:space="preserve">  1</t>
        </is>
      </c>
      <c r="B8" s="4" t="inlineStr">
        <is>
          <t>Each sheet lists only the companies holding that entitlement. If a company is not on a sheet, it bought nothing in that category.</t>
        </is>
      </c>
    </row>
    <row r="9">
      <c r="A9" s="5" t="inlineStr">
        <is>
          <t xml:space="preserve">  2</t>
        </is>
      </c>
      <c r="B9" s="4" t="inlineStr">
        <is>
          <t>BLUE TEXT is the contracted entitlement — do not edit. YELLOW cells are yours to fill in.</t>
        </is>
      </c>
    </row>
    <row r="10">
      <c r="A10" s="5" t="inlineStr">
        <is>
          <t xml:space="preserve">  3</t>
        </is>
      </c>
      <c r="B10" s="4" t="inlineStr">
        <is>
          <t>Use the Status dropdown so the Overview counts stay accurate.</t>
        </is>
      </c>
    </row>
    <row r="11">
      <c r="A11" s="5" t="inlineStr">
        <is>
          <t xml:space="preserve">  4</t>
        </is>
      </c>
      <c r="B11" s="4" t="inlineStr">
        <is>
          <t>Dates as YYYY-MM-DD. Add new agreements as a new row on each sheet where they hold an entitlement.</t>
        </is>
      </c>
    </row>
    <row r="12">
      <c r="A12" s="3" t="inlineStr"/>
      <c r="B12" s="4" t="inlineStr"/>
    </row>
    <row r="13">
      <c r="A13" s="5" t="inlineStr">
        <is>
          <t>SHEETS</t>
        </is>
      </c>
      <c r="B13" s="4" t="inlineStr"/>
    </row>
    <row r="14">
      <c r="A14" s="5" t="inlineStr">
        <is>
          <t xml:space="preserve">  01 RPM</t>
        </is>
      </c>
      <c r="B14" s="4" t="inlineStr">
        <is>
          <t>Retail People Magazine — advertising and profile features. 13 companies.</t>
        </is>
      </c>
    </row>
    <row r="15">
      <c r="A15" s="5" t="inlineStr">
        <is>
          <t xml:space="preserve">  02 Ads</t>
        </is>
      </c>
      <c r="B15" s="4" t="inlineStr">
        <is>
          <t>MECSR Directory 2027 advertising placements. 8 companies.</t>
        </is>
      </c>
    </row>
    <row r="16">
      <c r="A16" s="5" t="inlineStr">
        <is>
          <t xml:space="preserve">  03 Corporate Members</t>
        </is>
      </c>
      <c r="B16" s="4" t="inlineStr">
        <is>
          <t>Sponsorship-granted seats. 13 companies, 166 seats.</t>
        </is>
      </c>
    </row>
    <row r="17">
      <c r="A17" s="5" t="inlineStr">
        <is>
          <t xml:space="preserve">  04 Flat Plan</t>
        </is>
      </c>
      <c r="B17" s="4" t="inlineStr">
        <is>
          <t>The full 384-page plan for 2027 — every article, feature, ad and listing block with its page numbers, the 2026 position it came from, and its production status. Includes a deadline cascade driven by one press-date cell.</t>
        </is>
      </c>
    </row>
    <row r="18">
      <c r="A18" s="5" t="inlineStr">
        <is>
          <t xml:space="preserve">  05 Service Providers</t>
        </is>
      </c>
      <c r="B18" s="4" t="inlineStr">
        <is>
          <t>The 19 service-provider categories behind pages 279–297, with the verification and outreach campaign tracked per category.</t>
        </is>
      </c>
    </row>
    <row r="19">
      <c r="A19" s="5" t="inlineStr">
        <is>
          <t xml:space="preserve">  06 Expert Views</t>
        </is>
      </c>
      <c r="B19" s="4" t="inlineStr">
        <is>
          <t>The nine expert-view spreads on pages 34-51, with the 2027 company, author and proposed title for each.</t>
        </is>
      </c>
    </row>
    <row r="20">
      <c r="A20" s="5" t="inlineStr">
        <is>
          <t xml:space="preserve">  07 Membership</t>
        </is>
      </c>
      <c r="B20" s="4" t="inlineStr">
        <is>
          <t>The active member list as at 4 Sep 2026 — 436 active of 590, split corporate and individual/associate, each row carrying its Brilliant user id.</t>
        </is>
      </c>
    </row>
    <row r="21">
      <c r="A21" s="5" t="inlineStr">
        <is>
          <t xml:space="preserve">  08 BD Reconciliation</t>
        </is>
      </c>
      <c r="B21" s="4" t="inlineStr">
        <is>
          <t>The 3 Sep 2026 Brilliant Directories extract against the print dataset: 313 listings on the site missing from print, 302 print records with no live listing, and the GLA figures needing re-verification before any ranking prints.</t>
        </is>
      </c>
    </row>
    <row r="22">
      <c r="A22" s="5" t="inlineStr">
        <is>
          <t xml:space="preserve">  09 Listing Owners</t>
        </is>
      </c>
      <c r="B22" s="4" t="inlineStr">
        <is>
          <t>Every mall listing against its Brilliant account owner, and whether that owner is an active member, a lapsed member or was never one. This is what decides which outreach script each listing gets.</t>
        </is>
      </c>
    </row>
    <row r="23">
      <c r="A23" s="5" t="inlineStr">
        <is>
          <t xml:space="preserve">  Overview</t>
        </is>
      </c>
      <c r="B23" s="4" t="inlineStr">
        <is>
          <t>All entitlements in one table, plus live counts by status.</t>
        </is>
      </c>
    </row>
    <row r="24">
      <c r="A24" s="3" t="inlineStr"/>
      <c r="B24" s="4" t="inlineStr"/>
    </row>
    <row r="25">
      <c r="A25" s="5" t="inlineStr">
        <is>
          <t>FLAT PLAN RULES</t>
        </is>
      </c>
      <c r="B25" s="4" t="inlineStr">
        <is>
          <t>Page positions are locked to 384 (24 signatures). Changing PP on one row means taking a page from another — the TOTAL PAGES cell tells you at once if the plan no longer balances. Structural rows (listings, index, methodology) come from the master dataset and need no chasing; commercial and editorial rows do.</t>
        </is>
      </c>
    </row>
    <row r="26">
      <c r="A26" s="3" t="inlineStr"/>
      <c r="B26" s="4" t="inlineStr"/>
    </row>
    <row r="27">
      <c r="A27" s="5" t="inlineStr">
        <is>
          <t>NOT IN THIS FILE</t>
        </is>
      </c>
      <c r="B27" s="4" t="inlineStr">
        <is>
          <t>Leadership interviews and press-release mentions are Retail Congress MENA event entitlements, not Directory content. Invoice numbers and payment status are tracked separately in finance.</t>
        </is>
      </c>
    </row>
    <row r="28">
      <c r="A28" s="5" t="inlineStr">
        <is>
          <t>DRIVES THE WEB PAGE</t>
        </is>
      </c>
      <c r="B28" s="4" t="inlineStr">
        <is>
          <t>Sheet 04 Flat Plan is read directly by MECSR_2027_Directory_Dossier.html. Put both files in the same GitHub repo folder, turn on GitHub Pages, and every edit you commit to this sheet shows on the page — no rebuild, no third file.</t>
        </is>
      </c>
    </row>
    <row r="29">
      <c r="A29" s="5" t="inlineStr">
        <is>
          <t>SHARING</t>
        </is>
      </c>
      <c r="B29" s="4" t="inlineStr">
        <is>
          <t>Share read/write with the production team via OneDrive, or commit alongside the dossier HTML to GitHub. Keep one master copy.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4" customWidth="1" min="4" max="4"/>
    <col width="14" customWidth="1" min="5" max="5"/>
    <col width="14" customWidth="1" min="6" max="6"/>
    <col width="20" customWidth="1" min="7" max="7"/>
    <col width="16" customWidth="1" min="8" max="8"/>
    <col width="14" customWidth="1" min="9" max="9"/>
    <col width="20" customWidth="1" min="10" max="10"/>
    <col width="16" customWidth="1" min="11" max="11"/>
    <col width="14" customWidth="1" min="12" max="12"/>
    <col width="40" customWidth="1" min="13" max="13"/>
  </cols>
  <sheetData>
    <row r="1">
      <c r="A1" s="6" t="inlineStr">
        <is>
          <t>01 · RPM — Retail People Magazine</t>
        </is>
      </c>
    </row>
    <row r="2">
      <c r="A2" s="2" t="inlineStr">
        <is>
          <t>Advertising and profile features owed under the signed 2026 agreements.</t>
        </is>
      </c>
    </row>
    <row r="4" ht="32" customHeight="1">
      <c r="A4" s="7" t="inlineStr">
        <is>
          <t>SN</t>
        </is>
      </c>
      <c r="B4" s="7" t="inlineStr">
        <is>
          <t>COMPANY</t>
        </is>
      </c>
      <c r="C4" s="7" t="inlineStr">
        <is>
          <t>TIER</t>
        </is>
      </c>
      <c r="D4" s="7" t="inlineStr">
        <is>
          <t>RPM AD</t>
        </is>
      </c>
      <c r="E4" s="7" t="inlineStr">
        <is>
          <t>RPM PROFILE</t>
        </is>
      </c>
      <c r="F4" s="8" t="inlineStr">
        <is>
          <t>AD: ISSUE</t>
        </is>
      </c>
      <c r="G4" s="8" t="inlineStr">
        <is>
          <t>AD: ARTWORK RECEIVED</t>
        </is>
      </c>
      <c r="H4" s="8" t="inlineStr">
        <is>
          <t>AD: STATUS</t>
        </is>
      </c>
      <c r="I4" s="8" t="inlineStr">
        <is>
          <t>PROFILE: ISSUE</t>
        </is>
      </c>
      <c r="J4" s="8" t="inlineStr">
        <is>
          <t>PROFILE: COPY RECEIVED</t>
        </is>
      </c>
      <c r="K4" s="8" t="inlineStr">
        <is>
          <t>PROFILE: STATUS</t>
        </is>
      </c>
      <c r="L4" s="8" t="inlineStr">
        <is>
          <t>OWNER</t>
        </is>
      </c>
      <c r="M4" s="8" t="inlineStr">
        <is>
          <t>NOTES</t>
        </is>
      </c>
    </row>
    <row r="5">
      <c r="A5" s="9" t="n">
        <v>1</v>
      </c>
      <c r="B5" s="10" t="inlineStr">
        <is>
          <t>CENOMI CENTERS</t>
        </is>
      </c>
      <c r="C5" s="11" t="inlineStr">
        <is>
          <t>1. DIAMOND SPONSOR</t>
        </is>
      </c>
      <c r="D5" s="10" t="inlineStr">
        <is>
          <t>Double Page</t>
        </is>
      </c>
      <c r="E5" s="9" t="inlineStr">
        <is>
          <t>Yes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</row>
    <row r="6">
      <c r="A6" s="9" t="n">
        <v>2</v>
      </c>
      <c r="B6" s="10" t="inlineStr">
        <is>
          <t>UNIFIED REAL ESTATE DEVELOPMENT</t>
        </is>
      </c>
      <c r="C6" s="11" t="inlineStr">
        <is>
          <t>1. DIAMOND SPONSOR</t>
        </is>
      </c>
      <c r="D6" s="10" t="inlineStr">
        <is>
          <t>Double Page</t>
        </is>
      </c>
      <c r="E6" s="9" t="inlineStr">
        <is>
          <t>Yes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9" t="n">
        <v>3</v>
      </c>
      <c r="B7" s="10" t="inlineStr">
        <is>
          <t>AL OTHAIM INVESTMENT</t>
        </is>
      </c>
      <c r="C7" s="11" t="inlineStr">
        <is>
          <t>1. DIAMOND SPONSOR</t>
        </is>
      </c>
      <c r="D7" s="10" t="inlineStr">
        <is>
          <t>Double Page</t>
        </is>
      </c>
      <c r="E7" s="9" t="inlineStr">
        <is>
          <t>Yes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9" t="n">
        <v>4</v>
      </c>
      <c r="B8" s="10" t="inlineStr">
        <is>
          <t>AZAD PROPERTIES | RED MALLS</t>
        </is>
      </c>
      <c r="C8" s="11" t="inlineStr">
        <is>
          <t>1. DIAMOND SPONSOR</t>
        </is>
      </c>
      <c r="D8" s="10" t="inlineStr">
        <is>
          <t>Double Page  +  1 Full Page Ad (Q2 &amp; Q3, add-on)</t>
        </is>
      </c>
      <c r="E8" s="9" t="inlineStr">
        <is>
          <t>Yes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9" t="n">
        <v>5</v>
      </c>
      <c r="B9" s="10" t="inlineStr">
        <is>
          <t>KNOWLEDGE ECONOMIC CITY CO.</t>
        </is>
      </c>
      <c r="C9" s="13" t="inlineStr">
        <is>
          <t>2. PLATINUM SPONSOR</t>
        </is>
      </c>
      <c r="D9" s="10" t="inlineStr">
        <is>
          <t>Double Page</t>
        </is>
      </c>
      <c r="E9" s="9" t="inlineStr">
        <is>
          <t>Yes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9" t="n">
        <v>6</v>
      </c>
      <c r="B10" s="10" t="inlineStr">
        <is>
          <t>RED SEA MALLS</t>
        </is>
      </c>
      <c r="C10" s="13" t="inlineStr">
        <is>
          <t>2. PLATINUM SPONSOR</t>
        </is>
      </c>
      <c r="D10" s="10" t="inlineStr">
        <is>
          <t>Double Page</t>
        </is>
      </c>
      <c r="E10" s="9" t="inlineStr">
        <is>
          <t>Yes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9" t="n">
        <v>7</v>
      </c>
      <c r="B11" s="10" t="inlineStr">
        <is>
          <t>DANAH REAL ESTATE</t>
        </is>
      </c>
      <c r="C11" s="14" t="inlineStr">
        <is>
          <t>3. GOLD SPONSOR</t>
        </is>
      </c>
      <c r="D11" s="10" t="inlineStr">
        <is>
          <t>Single Page</t>
        </is>
      </c>
      <c r="E11" s="9" t="inlineStr">
        <is>
          <t>Yes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9" t="n">
        <v>8</v>
      </c>
      <c r="B12" s="10" t="inlineStr">
        <is>
          <t>DALMA MALL</t>
        </is>
      </c>
      <c r="C12" s="14" t="inlineStr">
        <is>
          <t>3. GOLD SPONSOR</t>
        </is>
      </c>
      <c r="D12" s="10" t="inlineStr">
        <is>
          <t>Single Page</t>
        </is>
      </c>
      <c r="E12" s="9" t="inlineStr">
        <is>
          <t>Yes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9" t="n">
        <v>9</v>
      </c>
      <c r="B13" s="10" t="inlineStr">
        <is>
          <t>YARDI SYSTEMS</t>
        </is>
      </c>
      <c r="C13" s="9" t="inlineStr">
        <is>
          <t>4. SILVER SPONSOR</t>
        </is>
      </c>
      <c r="D13" s="10" t="inlineStr">
        <is>
          <t>Single Page</t>
        </is>
      </c>
      <c r="E13" s="9" t="inlineStr">
        <is>
          <t>Yes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9" t="n">
        <v>10</v>
      </c>
      <c r="B14" s="10" t="inlineStr">
        <is>
          <t>MRI SOFTWARE</t>
        </is>
      </c>
      <c r="C14" s="15" t="inlineStr">
        <is>
          <t>5. BRONZE SPONSOR</t>
        </is>
      </c>
      <c r="D14" s="16" t="inlineStr">
        <is>
          <t>—</t>
        </is>
      </c>
      <c r="E14" s="9" t="inlineStr">
        <is>
          <t>Yes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9" t="n">
        <v>11</v>
      </c>
      <c r="B15" s="10" t="inlineStr">
        <is>
          <t>GIFTSTARR</t>
        </is>
      </c>
      <c r="C15" s="15" t="inlineStr">
        <is>
          <t>5. BRONZE SPONSOR</t>
        </is>
      </c>
      <c r="D15" s="16" t="inlineStr">
        <is>
          <t>—</t>
        </is>
      </c>
      <c r="E15" s="9" t="inlineStr">
        <is>
          <t>Yes</t>
        </is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9" t="n">
        <v>12</v>
      </c>
      <c r="B16" s="10" t="inlineStr">
        <is>
          <t>BURJUMAN</t>
        </is>
      </c>
      <c r="C16" s="15" t="inlineStr">
        <is>
          <t>5. BRONZE SPONSOR</t>
        </is>
      </c>
      <c r="D16" s="10" t="inlineStr">
        <is>
          <t>Single Page</t>
        </is>
      </c>
      <c r="E16" s="9" t="inlineStr">
        <is>
          <t>Yes</t>
        </is>
      </c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9" t="n">
        <v>13</v>
      </c>
      <c r="B17" s="10" t="inlineStr">
        <is>
          <t>AMUSEMENT SERVICES INTERNATIONAL LLC</t>
        </is>
      </c>
      <c r="C17" s="17" t="inlineStr">
        <is>
          <t>19. EXHIBITOR</t>
        </is>
      </c>
      <c r="D17" s="16" t="inlineStr">
        <is>
          <t>—</t>
        </is>
      </c>
      <c r="E17" s="9" t="inlineStr">
        <is>
          <t>Yes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9" ht="26" customHeight="1">
      <c r="B19" s="18" t="inlineStr">
        <is>
          <t>Artwork — full page 210×297mm, double page 420×297mm, CMYK, 3mm bleed. Profile feature — 500–700 words plus images and logo. Dates as YYYY-MM-DD.</t>
        </is>
      </c>
    </row>
  </sheetData>
  <autoFilter ref="A4:M17"/>
  <mergeCells count="3">
    <mergeCell ref="B19:I19"/>
    <mergeCell ref="A1:F1"/>
    <mergeCell ref="A2:J2"/>
  </mergeCells>
  <dataValidations count="2">
    <dataValidation sqref="H5:H47" showDropDown="0" showInputMessage="0" showErrorMessage="0" allowBlank="1" type="list">
      <formula1>"Not Started,Requested,In Progress,Received,Approved,Placed"</formula1>
    </dataValidation>
    <dataValidation sqref="K5:K47" showDropDown="0" showInputMessage="0" showErrorMessage="0" allowBlank="1" type="list">
      <formula1>"Not Started,Requested,In Progress,Received,Approved,Placed"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16" customWidth="1" min="4" max="4"/>
    <col width="18" customWidth="1" min="5" max="5"/>
    <col width="18" customWidth="1" min="6" max="6"/>
    <col width="16" customWidth="1" min="7" max="7"/>
    <col width="14" customWidth="1" min="8" max="8"/>
    <col width="44" customWidth="1" min="9" max="9"/>
  </cols>
  <sheetData>
    <row r="1">
      <c r="A1" s="6" t="inlineStr">
        <is>
          <t>02 · ADS — MECSR Directory 2027</t>
        </is>
      </c>
    </row>
    <row r="2">
      <c r="A2" s="2" t="inlineStr">
        <is>
          <t>Advertising placements owed under the signed 2026 agreements.</t>
        </is>
      </c>
    </row>
    <row r="4" ht="32" customHeight="1">
      <c r="A4" s="7" t="inlineStr">
        <is>
          <t>SN</t>
        </is>
      </c>
      <c r="B4" s="7" t="inlineStr">
        <is>
          <t>COMPANY</t>
        </is>
      </c>
      <c r="C4" s="7" t="inlineStr">
        <is>
          <t>TIER</t>
        </is>
      </c>
      <c r="D4" s="7" t="inlineStr">
        <is>
          <t>AD SIZE</t>
        </is>
      </c>
      <c r="E4" s="8" t="inlineStr">
        <is>
          <t>PAGE ALLOCATED</t>
        </is>
      </c>
      <c r="F4" s="8" t="inlineStr">
        <is>
          <t>ARTWORK RECEIVED</t>
        </is>
      </c>
      <c r="G4" s="8" t="inlineStr">
        <is>
          <t>STATUS</t>
        </is>
      </c>
      <c r="H4" s="8" t="inlineStr">
        <is>
          <t>OWNER</t>
        </is>
      </c>
      <c r="I4" s="8" t="inlineStr">
        <is>
          <t>NOTES</t>
        </is>
      </c>
    </row>
    <row r="5">
      <c r="A5" s="9" t="n">
        <v>1</v>
      </c>
      <c r="B5" s="10" t="inlineStr">
        <is>
          <t>CENOMI CENTERS</t>
        </is>
      </c>
      <c r="C5" s="11" t="inlineStr">
        <is>
          <t>1. DIAMOND SPONSOR</t>
        </is>
      </c>
      <c r="D5" s="9" t="inlineStr">
        <is>
          <t>Double Page</t>
        </is>
      </c>
      <c r="E5" s="12" t="n"/>
      <c r="F5" s="12" t="n"/>
      <c r="G5" s="12" t="n"/>
      <c r="H5" s="12" t="n"/>
      <c r="I5" s="12" t="n"/>
    </row>
    <row r="6">
      <c r="A6" s="9" t="n">
        <v>2</v>
      </c>
      <c r="B6" s="10" t="inlineStr">
        <is>
          <t>UNIFIED REAL ESTATE DEVELOPMENT</t>
        </is>
      </c>
      <c r="C6" s="11" t="inlineStr">
        <is>
          <t>1. DIAMOND SPONSOR</t>
        </is>
      </c>
      <c r="D6" s="9" t="inlineStr">
        <is>
          <t>Double Page</t>
        </is>
      </c>
      <c r="E6" s="12" t="n"/>
      <c r="F6" s="12" t="n"/>
      <c r="G6" s="12" t="n"/>
      <c r="H6" s="12" t="n"/>
      <c r="I6" s="12" t="n"/>
    </row>
    <row r="7">
      <c r="A7" s="9" t="n">
        <v>3</v>
      </c>
      <c r="B7" s="10" t="inlineStr">
        <is>
          <t>AL OTHAIM INVESTMENT</t>
        </is>
      </c>
      <c r="C7" s="11" t="inlineStr">
        <is>
          <t>1. DIAMOND SPONSOR</t>
        </is>
      </c>
      <c r="D7" s="9" t="inlineStr">
        <is>
          <t>Double Page</t>
        </is>
      </c>
      <c r="E7" s="12" t="n"/>
      <c r="F7" s="12" t="n"/>
      <c r="G7" s="12" t="n"/>
      <c r="H7" s="12" t="n"/>
      <c r="I7" s="12" t="n"/>
    </row>
    <row r="8">
      <c r="A8" s="9" t="n">
        <v>4</v>
      </c>
      <c r="B8" s="10" t="inlineStr">
        <is>
          <t>AZAD PROPERTIES | RED MALLS</t>
        </is>
      </c>
      <c r="C8" s="11" t="inlineStr">
        <is>
          <t>1. DIAMOND SPONSOR</t>
        </is>
      </c>
      <c r="D8" s="9" t="inlineStr">
        <is>
          <t>Double Page</t>
        </is>
      </c>
      <c r="E8" s="12" t="n"/>
      <c r="F8" s="12" t="n"/>
      <c r="G8" s="12" t="n"/>
      <c r="H8" s="12" t="n"/>
      <c r="I8" s="12" t="n"/>
    </row>
    <row r="9">
      <c r="A9" s="9" t="n">
        <v>5</v>
      </c>
      <c r="B9" s="10" t="inlineStr">
        <is>
          <t>KNOWLEDGE ECONOMIC CITY CO.</t>
        </is>
      </c>
      <c r="C9" s="13" t="inlineStr">
        <is>
          <t>2. PLATINUM SPONSOR</t>
        </is>
      </c>
      <c r="D9" s="9" t="inlineStr">
        <is>
          <t>Double Page</t>
        </is>
      </c>
      <c r="E9" s="12" t="n"/>
      <c r="F9" s="12" t="n"/>
      <c r="G9" s="12" t="n"/>
      <c r="H9" s="12" t="n"/>
      <c r="I9" s="12" t="n"/>
    </row>
    <row r="10">
      <c r="A10" s="9" t="n">
        <v>6</v>
      </c>
      <c r="B10" s="10" t="inlineStr">
        <is>
          <t>RED SEA MALLS</t>
        </is>
      </c>
      <c r="C10" s="13" t="inlineStr">
        <is>
          <t>2. PLATINUM SPONSOR</t>
        </is>
      </c>
      <c r="D10" s="9" t="inlineStr">
        <is>
          <t>Double Page</t>
        </is>
      </c>
      <c r="E10" s="12" t="n"/>
      <c r="F10" s="12" t="n"/>
      <c r="G10" s="12" t="n"/>
      <c r="H10" s="12" t="n"/>
      <c r="I10" s="12" t="n"/>
    </row>
    <row r="11">
      <c r="A11" s="9" t="n">
        <v>7</v>
      </c>
      <c r="B11" s="10" t="inlineStr">
        <is>
          <t>DANAH REAL ESTATE</t>
        </is>
      </c>
      <c r="C11" s="14" t="inlineStr">
        <is>
          <t>3. GOLD SPONSOR</t>
        </is>
      </c>
      <c r="D11" s="9" t="inlineStr">
        <is>
          <t>Single Page</t>
        </is>
      </c>
      <c r="E11" s="12" t="n"/>
      <c r="F11" s="12" t="n"/>
      <c r="G11" s="12" t="n"/>
      <c r="H11" s="12" t="n"/>
      <c r="I11" s="12" t="n"/>
    </row>
    <row r="12">
      <c r="A12" s="9" t="n">
        <v>8</v>
      </c>
      <c r="B12" s="10" t="inlineStr">
        <is>
          <t>DALMA MALL</t>
        </is>
      </c>
      <c r="C12" s="14" t="inlineStr">
        <is>
          <t>3. GOLD SPONSOR</t>
        </is>
      </c>
      <c r="D12" s="9" t="inlineStr">
        <is>
          <t>Single Page</t>
        </is>
      </c>
      <c r="E12" s="12" t="n"/>
      <c r="F12" s="12" t="n"/>
      <c r="G12" s="12" t="n"/>
      <c r="H12" s="12" t="n"/>
      <c r="I12" s="12" t="n"/>
    </row>
    <row r="14" ht="26" customHeight="1">
      <c r="B14" s="18" t="inlineStr">
        <is>
          <t>Artwork — single page 210×297mm, double page 420×297mm, CMYK, 3mm bleed. Page position is allocated by production. Dates as YYYY-MM-DD.</t>
        </is>
      </c>
    </row>
  </sheetData>
  <autoFilter ref="A4:I12"/>
  <mergeCells count="3">
    <mergeCell ref="B14:I14"/>
    <mergeCell ref="A1:F1"/>
    <mergeCell ref="A2:I2"/>
  </mergeCells>
  <dataValidations count="1">
    <dataValidation sqref="G5:G42" showDropDown="0" showInputMessage="0" showErrorMessage="0" allowBlank="1" type="list">
      <formula1>"Not Started,Requested,In Progress,Received,Approved,Placed"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40" customWidth="1" min="11" max="11"/>
  </cols>
  <sheetData>
    <row r="1">
      <c r="A1" s="6" t="inlineStr">
        <is>
          <t>03 · CORPORATE MEMBERS — seats granted under sponsorship agreements</t>
        </is>
      </c>
    </row>
    <row r="2">
      <c r="A2" s="2" t="inlineStr">
        <is>
          <t>Sponsorship-granted seats only. Corporate memberships bought directly are on sheet 07 Membership 2026.</t>
        </is>
      </c>
    </row>
    <row r="4" ht="32" customHeight="1">
      <c r="A4" s="7" t="inlineStr">
        <is>
          <t>SN</t>
        </is>
      </c>
      <c r="B4" s="7" t="inlineStr">
        <is>
          <t>COMPANY</t>
        </is>
      </c>
      <c r="C4" s="7" t="inlineStr">
        <is>
          <t>TIER</t>
        </is>
      </c>
      <c r="D4" s="7" t="inlineStr">
        <is>
          <t>SEATS GRANTED</t>
        </is>
      </c>
      <c r="E4" s="8" t="inlineStr">
        <is>
          <t>SEATS NOMINATED</t>
        </is>
      </c>
      <c r="F4" s="8" t="inlineStr">
        <is>
          <t>SEATS ACTIVATED</t>
        </is>
      </c>
      <c r="G4" s="8" t="inlineStr">
        <is>
          <t>MEMBERSHIP START</t>
        </is>
      </c>
      <c r="H4" s="8" t="inlineStr">
        <is>
          <t>MEMBERSHIP END</t>
        </is>
      </c>
      <c r="I4" s="8" t="inlineStr">
        <is>
          <t>STATUS</t>
        </is>
      </c>
      <c r="J4" s="8" t="inlineStr">
        <is>
          <t>OWNER</t>
        </is>
      </c>
      <c r="K4" s="8" t="inlineStr">
        <is>
          <t>NOTES</t>
        </is>
      </c>
    </row>
    <row r="5">
      <c r="A5" s="9" t="n">
        <v>1</v>
      </c>
      <c r="B5" s="10" t="inlineStr">
        <is>
          <t>CENOMI CENTERS</t>
        </is>
      </c>
      <c r="C5" s="11" t="inlineStr">
        <is>
          <t>1. DIAMOND SPONSOR</t>
        </is>
      </c>
      <c r="D5" s="9" t="n">
        <v>35</v>
      </c>
      <c r="E5" s="12" t="n"/>
      <c r="F5" s="12" t="n"/>
      <c r="G5" s="12" t="n"/>
      <c r="H5" s="12" t="n"/>
      <c r="I5" s="12" t="n"/>
      <c r="J5" s="12" t="n"/>
      <c r="K5" s="12" t="n"/>
    </row>
    <row r="6">
      <c r="A6" s="9" t="n">
        <v>2</v>
      </c>
      <c r="B6" s="10" t="inlineStr">
        <is>
          <t>UNIFIED REAL ESTATE DEVELOPMENT</t>
        </is>
      </c>
      <c r="C6" s="11" t="inlineStr">
        <is>
          <t>1. DIAMOND SPONSOR</t>
        </is>
      </c>
      <c r="D6" s="9" t="n">
        <v>20</v>
      </c>
      <c r="E6" s="12" t="n"/>
      <c r="F6" s="12" t="n"/>
      <c r="G6" s="12" t="n"/>
      <c r="H6" s="12" t="n"/>
      <c r="I6" s="12" t="n"/>
      <c r="J6" s="12" t="n"/>
      <c r="K6" s="12" t="n"/>
    </row>
    <row r="7">
      <c r="A7" s="9" t="n">
        <v>3</v>
      </c>
      <c r="B7" s="10" t="inlineStr">
        <is>
          <t>AL OTHAIM INVESTMENT</t>
        </is>
      </c>
      <c r="C7" s="11" t="inlineStr">
        <is>
          <t>1. DIAMOND SPONSOR</t>
        </is>
      </c>
      <c r="D7" s="9" t="n">
        <v>20</v>
      </c>
      <c r="E7" s="12" t="n"/>
      <c r="F7" s="12" t="n"/>
      <c r="G7" s="12" t="n"/>
      <c r="H7" s="12" t="n"/>
      <c r="I7" s="12" t="n"/>
      <c r="J7" s="12" t="n"/>
      <c r="K7" s="12" t="n"/>
    </row>
    <row r="8">
      <c r="A8" s="9" t="n">
        <v>4</v>
      </c>
      <c r="B8" s="10" t="inlineStr">
        <is>
          <t>AZAD PROPERTIES | RED MALLS</t>
        </is>
      </c>
      <c r="C8" s="11" t="inlineStr">
        <is>
          <t>1. DIAMOND SPONSOR</t>
        </is>
      </c>
      <c r="D8" s="9" t="n">
        <v>20</v>
      </c>
      <c r="E8" s="12" t="n"/>
      <c r="F8" s="12" t="n"/>
      <c r="G8" s="12" t="n"/>
      <c r="H8" s="12" t="n"/>
      <c r="I8" s="12" t="n"/>
      <c r="J8" s="12" t="n"/>
      <c r="K8" s="12" t="n"/>
    </row>
    <row r="9">
      <c r="A9" s="9" t="n">
        <v>5</v>
      </c>
      <c r="B9" s="10" t="inlineStr">
        <is>
          <t>KNOWLEDGE ECONOMIC CITY CO.</t>
        </is>
      </c>
      <c r="C9" s="13" t="inlineStr">
        <is>
          <t>2. PLATINUM SPONSOR</t>
        </is>
      </c>
      <c r="D9" s="9" t="n">
        <v>10</v>
      </c>
      <c r="E9" s="12" t="n"/>
      <c r="F9" s="12" t="n"/>
      <c r="G9" s="12" t="n"/>
      <c r="H9" s="12" t="n"/>
      <c r="I9" s="12" t="n"/>
      <c r="J9" s="12" t="n"/>
      <c r="K9" s="12" t="n"/>
    </row>
    <row r="10">
      <c r="A10" s="9" t="n">
        <v>6</v>
      </c>
      <c r="B10" s="10" t="inlineStr">
        <is>
          <t>RED SEA MALLS</t>
        </is>
      </c>
      <c r="C10" s="13" t="inlineStr">
        <is>
          <t>2. PLATINUM SPONSOR</t>
        </is>
      </c>
      <c r="D10" s="9" t="n">
        <v>16</v>
      </c>
      <c r="E10" s="12" t="n"/>
      <c r="F10" s="12" t="n"/>
      <c r="G10" s="12" t="n"/>
      <c r="H10" s="12" t="n"/>
      <c r="I10" s="12" t="n"/>
      <c r="J10" s="12" t="n"/>
      <c r="K10" s="12" t="n"/>
    </row>
    <row r="11">
      <c r="A11" s="9" t="n">
        <v>7</v>
      </c>
      <c r="B11" s="10" t="inlineStr">
        <is>
          <t>DANAH REAL ESTATE</t>
        </is>
      </c>
      <c r="C11" s="14" t="inlineStr">
        <is>
          <t>3. GOLD SPONSOR</t>
        </is>
      </c>
      <c r="D11" s="9" t="n">
        <v>12</v>
      </c>
      <c r="E11" s="12" t="n"/>
      <c r="F11" s="12" t="n"/>
      <c r="G11" s="12" t="n"/>
      <c r="H11" s="12" t="n"/>
      <c r="I11" s="12" t="n"/>
      <c r="J11" s="12" t="n"/>
      <c r="K11" s="12" t="n"/>
    </row>
    <row r="12">
      <c r="A12" s="9" t="n">
        <v>8</v>
      </c>
      <c r="B12" s="10" t="inlineStr">
        <is>
          <t>DALMA MALL</t>
        </is>
      </c>
      <c r="C12" s="14" t="inlineStr">
        <is>
          <t>3. GOLD SPONSOR</t>
        </is>
      </c>
      <c r="D12" s="9" t="n">
        <v>15</v>
      </c>
      <c r="E12" s="12" t="n"/>
      <c r="F12" s="12" t="n"/>
      <c r="G12" s="12" t="n"/>
      <c r="H12" s="12" t="n"/>
      <c r="I12" s="12" t="n"/>
      <c r="J12" s="12" t="n"/>
      <c r="K12" s="12" t="n"/>
    </row>
    <row r="13">
      <c r="A13" s="9" t="n">
        <v>9</v>
      </c>
      <c r="B13" s="10" t="inlineStr">
        <is>
          <t>YARDI SYSTEMS</t>
        </is>
      </c>
      <c r="C13" s="9" t="inlineStr">
        <is>
          <t>4. SILVER SPONSOR</t>
        </is>
      </c>
      <c r="D13" s="9" t="n">
        <v>4</v>
      </c>
      <c r="E13" s="12" t="n"/>
      <c r="F13" s="12" t="n"/>
      <c r="G13" s="12" t="n"/>
      <c r="H13" s="12" t="n"/>
      <c r="I13" s="12" t="n"/>
      <c r="J13" s="12" t="n"/>
      <c r="K13" s="12" t="n"/>
    </row>
    <row r="14">
      <c r="A14" s="9" t="n">
        <v>10</v>
      </c>
      <c r="B14" s="10" t="inlineStr">
        <is>
          <t>MRI SOFTWARE</t>
        </is>
      </c>
      <c r="C14" s="15" t="inlineStr">
        <is>
          <t>5. BRONZE SPONSOR</t>
        </is>
      </c>
      <c r="D14" s="9" t="n">
        <v>4</v>
      </c>
      <c r="E14" s="12" t="n"/>
      <c r="F14" s="12" t="n"/>
      <c r="G14" s="12" t="n"/>
      <c r="H14" s="12" t="n"/>
      <c r="I14" s="12" t="n"/>
      <c r="J14" s="12" t="n"/>
      <c r="K14" s="12" t="n"/>
    </row>
    <row r="15">
      <c r="A15" s="9" t="n">
        <v>11</v>
      </c>
      <c r="B15" s="10" t="inlineStr">
        <is>
          <t>GIFTSTARR</t>
        </is>
      </c>
      <c r="C15" s="15" t="inlineStr">
        <is>
          <t>5. BRONZE SPONSOR</t>
        </is>
      </c>
      <c r="D15" s="9" t="n">
        <v>4</v>
      </c>
      <c r="E15" s="12" t="n"/>
      <c r="F15" s="12" t="n"/>
      <c r="G15" s="12" t="n"/>
      <c r="H15" s="12" t="n"/>
      <c r="I15" s="12" t="n"/>
      <c r="J15" s="12" t="n"/>
      <c r="K15" s="12" t="n"/>
    </row>
    <row r="16">
      <c r="A16" s="9" t="n">
        <v>12</v>
      </c>
      <c r="B16" s="10" t="inlineStr">
        <is>
          <t>BURJUMAN</t>
        </is>
      </c>
      <c r="C16" s="15" t="inlineStr">
        <is>
          <t>5. BRONZE SPONSOR</t>
        </is>
      </c>
      <c r="D16" s="9" t="n">
        <v>4</v>
      </c>
      <c r="E16" s="12" t="n"/>
      <c r="F16" s="12" t="n"/>
      <c r="G16" s="12" t="n"/>
      <c r="H16" s="12" t="n"/>
      <c r="I16" s="12" t="n"/>
      <c r="J16" s="12" t="n"/>
      <c r="K16" s="12" t="n"/>
    </row>
    <row r="17">
      <c r="A17" s="9" t="n">
        <v>13</v>
      </c>
      <c r="B17" s="10" t="inlineStr">
        <is>
          <t>AMUSEMENT SERVICES INTERNATIONAL LLC</t>
        </is>
      </c>
      <c r="C17" s="17" t="inlineStr">
        <is>
          <t>19. EXHIBITOR</t>
        </is>
      </c>
      <c r="D17" s="9" t="n">
        <v>2</v>
      </c>
      <c r="E17" s="12" t="n"/>
      <c r="F17" s="12" t="n"/>
      <c r="G17" s="12" t="n"/>
      <c r="H17" s="12" t="n"/>
      <c r="I17" s="12" t="n"/>
      <c r="J17" s="12" t="n"/>
      <c r="K17" s="12" t="n"/>
    </row>
    <row r="18">
      <c r="C18" s="19" t="inlineStr">
        <is>
          <t>TOTAL</t>
        </is>
      </c>
      <c r="D18" s="20">
        <f>SUM(D5:D17)</f>
        <v/>
      </c>
      <c r="E18" s="20">
        <f>SUM(E5:E17)</f>
        <v/>
      </c>
      <c r="F18" s="20">
        <f>SUM(F5:F17)</f>
        <v/>
      </c>
    </row>
    <row r="19" ht="26" customHeight="1">
      <c r="B19" s="18" t="inlineStr">
        <is>
          <t>Nominated = names received from the company (full name, job title, email, mobile). Activated = account created. Dates as YYYY-MM-DD.</t>
        </is>
      </c>
    </row>
  </sheetData>
  <autoFilter ref="A4:K17"/>
  <mergeCells count="3">
    <mergeCell ref="B19:I19"/>
    <mergeCell ref="A1:F1"/>
    <mergeCell ref="A2:J2"/>
  </mergeCells>
  <dataValidations count="1">
    <dataValidation sqref="I5:I47" showDropDown="0" showInputMessage="0" showErrorMessage="0" allowBlank="1" type="list">
      <formula1>"Not Started,Requested,In Progress,Received,Approved,Placed"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3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8" customWidth="1" min="4" max="4"/>
    <col width="6" customWidth="1" min="5" max="5"/>
    <col width="13" customWidth="1" min="6" max="6"/>
    <col width="13" customWidth="1" min="7" max="7"/>
    <col width="22" customWidth="1" min="8" max="8"/>
    <col width="18" customWidth="1" min="9" max="9"/>
    <col width="52" customWidth="1" min="10" max="10"/>
    <col width="24" customWidth="1" min="11" max="11"/>
    <col width="18" customWidth="1" min="12" max="12"/>
    <col width="17" customWidth="1" min="13" max="13"/>
    <col width="16" customWidth="1" min="14" max="14"/>
    <col width="13" customWidth="1" min="15" max="15"/>
    <col width="34" customWidth="1" min="16" max="16"/>
  </cols>
  <sheetData>
    <row r="1">
      <c r="A1" s="6" t="inlineStr">
        <is>
          <t>04 · FLAT PLAN — MECSR Directory 2027 (384 pages)</t>
        </is>
      </c>
    </row>
    <row r="2">
      <c r="A2" s="2" t="inlineStr">
        <is>
          <t>The full plan. Blue columns are the locked structure; yellow columns are yours to fill in. THIS SHEET DRIVES THE HTML DOSSIER — edit here and the page follows.</t>
        </is>
      </c>
    </row>
    <row r="4" ht="32" customHeight="1">
      <c r="A4" s="7" t="inlineStr">
        <is>
          <t>SN</t>
        </is>
      </c>
      <c r="B4" s="7" t="inlineStr">
        <is>
          <t>SECTION</t>
        </is>
      </c>
      <c r="C4" s="7" t="inlineStr">
        <is>
          <t>ITEM</t>
        </is>
      </c>
      <c r="D4" s="7" t="inlineStr">
        <is>
          <t>TYPE</t>
        </is>
      </c>
      <c r="E4" s="7" t="inlineStr">
        <is>
          <t>PP</t>
        </is>
      </c>
      <c r="F4" s="7" t="inlineStr">
        <is>
          <t>2027 PAGES</t>
        </is>
      </c>
      <c r="G4" s="7" t="inlineStr">
        <is>
          <t>2026 PAGES</t>
        </is>
      </c>
      <c r="H4" s="7" t="inlineStr">
        <is>
          <t>2027 COUNT</t>
        </is>
      </c>
      <c r="I4" s="7" t="inlineStr">
        <is>
          <t>SUPPLIED BY</t>
        </is>
      </c>
      <c r="J4" s="7" t="inlineStr">
        <is>
          <t>SPEC / PLANNING NOTE</t>
        </is>
      </c>
      <c r="K4" s="8" t="inlineStr">
        <is>
          <t>SPONSOR / CLIENT</t>
        </is>
      </c>
      <c r="L4" s="8" t="inlineStr">
        <is>
          <t>ASSIGNED TO</t>
        </is>
      </c>
      <c r="M4" s="8" t="inlineStr">
        <is>
          <t>CONTENT STATUS</t>
        </is>
      </c>
      <c r="N4" s="8" t="inlineStr">
        <is>
          <t>DESIGN STATUS</t>
        </is>
      </c>
      <c r="O4" s="8" t="inlineStr">
        <is>
          <t>DUE DATE</t>
        </is>
      </c>
      <c r="P4" s="8" t="inlineStr">
        <is>
          <t>NOTES</t>
        </is>
      </c>
    </row>
    <row r="5" ht="26" customHeight="1">
      <c r="A5" s="9" t="n">
        <v>1</v>
      </c>
      <c r="B5" s="10" t="inlineStr">
        <is>
          <t>01 Front of Book</t>
        </is>
      </c>
      <c r="C5" s="10" t="inlineStr">
        <is>
          <t>Front Cover</t>
        </is>
      </c>
      <c r="D5" s="21" t="inlineStr">
        <is>
          <t>📕 Cover</t>
        </is>
      </c>
      <c r="E5" s="22" t="n">
        <v>1</v>
      </c>
      <c r="F5" s="23" t="inlineStr">
        <is>
          <t>1</t>
        </is>
      </c>
      <c r="G5" s="24" t="inlineStr">
        <is>
          <t>—</t>
        </is>
      </c>
      <c r="H5" s="16" t="inlineStr">
        <is>
          <t>—</t>
        </is>
      </c>
      <c r="I5" s="9" t="inlineStr">
        <is>
          <t>Design</t>
        </is>
      </c>
      <c r="J5" s="10" t="inlineStr">
        <is>
          <t>Hardcover concept selected from the 2027 cover proposals PDF</t>
        </is>
      </c>
      <c r="K5" s="12" t="n"/>
      <c r="L5" s="12" t="n"/>
      <c r="M5" s="12" t="n"/>
      <c r="N5" s="12" t="n"/>
      <c r="O5" s="12" t="n"/>
      <c r="P5" s="12" t="n"/>
    </row>
    <row r="6" ht="26" customHeight="1">
      <c r="A6" s="9" t="n">
        <v>2</v>
      </c>
      <c r="B6" s="10" t="inlineStr">
        <is>
          <t>01 Front of Book</t>
        </is>
      </c>
      <c r="C6" s="10" t="inlineStr">
        <is>
          <t>Inside Front Cover (IFC) AD</t>
        </is>
      </c>
      <c r="D6" s="25" t="inlineStr">
        <is>
          <t>📢 Ad</t>
        </is>
      </c>
      <c r="E6" s="22" t="n">
        <v>1</v>
      </c>
      <c r="F6" s="23" t="inlineStr">
        <is>
          <t>2</t>
        </is>
      </c>
      <c r="G6" s="24" t="inlineStr">
        <is>
          <t>—</t>
        </is>
      </c>
      <c r="H6" s="16" t="inlineStr">
        <is>
          <t>—</t>
        </is>
      </c>
      <c r="I6" s="9" t="inlineStr">
        <is>
          <t>Sales / Client</t>
        </is>
      </c>
      <c r="J6" s="10" t="inlineStr">
        <is>
          <t>Premium position — highest ad tier</t>
        </is>
      </c>
      <c r="K6" s="12" t="n"/>
      <c r="L6" s="12" t="n"/>
      <c r="M6" s="12" t="n"/>
      <c r="N6" s="12" t="n"/>
      <c r="O6" s="12" t="n"/>
      <c r="P6" s="12" t="n"/>
    </row>
    <row r="7" ht="26" customHeight="1">
      <c r="A7" s="9" t="n">
        <v>3</v>
      </c>
      <c r="B7" s="10" t="inlineStr">
        <is>
          <t>01 Front of Book</t>
        </is>
      </c>
      <c r="C7" s="10" t="inlineStr">
        <is>
          <t>Table of Contents</t>
        </is>
      </c>
      <c r="D7" s="26" t="inlineStr">
        <is>
          <t>📑 TOC</t>
        </is>
      </c>
      <c r="E7" s="22" t="n">
        <v>1</v>
      </c>
      <c r="F7" s="23" t="inlineStr">
        <is>
          <t>3</t>
        </is>
      </c>
      <c r="G7" s="24" t="inlineStr">
        <is>
          <t>—</t>
        </is>
      </c>
      <c r="H7" s="16" t="inlineStr">
        <is>
          <t>—</t>
        </is>
      </c>
      <c r="I7" s="9" t="inlineStr">
        <is>
          <t>Editorial</t>
        </is>
      </c>
      <c r="J7" s="10" t="inlineStr">
        <is>
          <t>Built last, after pagination is frozen</t>
        </is>
      </c>
      <c r="K7" s="12" t="n"/>
      <c r="L7" s="12" t="n"/>
      <c r="M7" s="12" t="n"/>
      <c r="N7" s="12" t="n"/>
      <c r="O7" s="12" t="n"/>
      <c r="P7" s="12" t="n"/>
    </row>
    <row r="8" ht="26" customHeight="1">
      <c r="A8" s="9" t="n">
        <v>4</v>
      </c>
      <c r="B8" s="10" t="inlineStr">
        <is>
          <t>01 Front of Book</t>
        </is>
      </c>
      <c r="C8" s="10" t="inlineStr">
        <is>
          <t>About the 2027 Edition</t>
        </is>
      </c>
      <c r="D8" s="27" t="inlineStr">
        <is>
          <t>📰 Editorial</t>
        </is>
      </c>
      <c r="E8" s="22" t="n">
        <v>1</v>
      </c>
      <c r="F8" s="23" t="inlineStr">
        <is>
          <t>4</t>
        </is>
      </c>
      <c r="G8" s="24" t="inlineStr">
        <is>
          <t>—</t>
        </is>
      </c>
      <c r="H8" s="16" t="inlineStr">
        <is>
          <t>—</t>
        </is>
      </c>
      <c r="I8" s="9" t="inlineStr">
        <is>
          <t>Editorial</t>
        </is>
      </c>
      <c r="J8" s="16" t="inlineStr">
        <is>
          <t>—</t>
        </is>
      </c>
      <c r="K8" s="12" t="n"/>
      <c r="L8" s="12" t="n"/>
      <c r="M8" s="12" t="n"/>
      <c r="N8" s="12" t="n"/>
      <c r="O8" s="12" t="n"/>
      <c r="P8" s="12" t="n"/>
    </row>
    <row r="9" ht="26" customHeight="1">
      <c r="A9" s="9" t="n">
        <v>5</v>
      </c>
      <c r="B9" s="10" t="inlineStr">
        <is>
          <t>01 Front of Book</t>
        </is>
      </c>
      <c r="C9" s="10" t="inlineStr">
        <is>
          <t>What's New in 2027</t>
        </is>
      </c>
      <c r="D9" s="27" t="inlineStr">
        <is>
          <t>📰 Editorial</t>
        </is>
      </c>
      <c r="E9" s="22" t="n">
        <v>1</v>
      </c>
      <c r="F9" s="23" t="inlineStr">
        <is>
          <t>5</t>
        </is>
      </c>
      <c r="G9" s="24" t="inlineStr">
        <is>
          <t>—</t>
        </is>
      </c>
      <c r="H9" s="16" t="inlineStr">
        <is>
          <t>—</t>
        </is>
      </c>
      <c r="I9" s="9" t="inlineStr">
        <is>
          <t>Editorial</t>
        </is>
      </c>
      <c r="J9" s="16" t="inlineStr">
        <is>
          <t>—</t>
        </is>
      </c>
      <c r="K9" s="12" t="n"/>
      <c r="L9" s="12" t="n"/>
      <c r="M9" s="12" t="n"/>
      <c r="N9" s="12" t="n"/>
      <c r="O9" s="12" t="n"/>
      <c r="P9" s="12" t="n"/>
    </row>
    <row r="10" ht="26" customHeight="1">
      <c r="A10" s="9" t="n">
        <v>6</v>
      </c>
      <c r="B10" s="10" t="inlineStr">
        <is>
          <t>01 Front of Book</t>
        </is>
      </c>
      <c r="C10" s="10" t="inlineStr">
        <is>
          <t>Chairman's Message</t>
        </is>
      </c>
      <c r="D10" s="28" t="inlineStr">
        <is>
          <t>💬 Message</t>
        </is>
      </c>
      <c r="E10" s="22" t="n">
        <v>1</v>
      </c>
      <c r="F10" s="23" t="inlineStr">
        <is>
          <t>6</t>
        </is>
      </c>
      <c r="G10" s="24" t="inlineStr">
        <is>
          <t>—</t>
        </is>
      </c>
      <c r="H10" s="16" t="inlineStr">
        <is>
          <t>—</t>
        </is>
      </c>
      <c r="I10" s="9" t="inlineStr">
        <is>
          <t>Executive Office</t>
        </is>
      </c>
      <c r="J10" s="16" t="inlineStr">
        <is>
          <t>—</t>
        </is>
      </c>
      <c r="K10" s="12" t="n"/>
      <c r="L10" s="12" t="n"/>
      <c r="M10" s="12" t="n"/>
      <c r="N10" s="12" t="n"/>
      <c r="O10" s="12" t="n"/>
      <c r="P10" s="12" t="n"/>
    </row>
    <row r="11" ht="26" customHeight="1">
      <c r="A11" s="9" t="n">
        <v>7</v>
      </c>
      <c r="B11" s="10" t="inlineStr">
        <is>
          <t>01 Front of Book</t>
        </is>
      </c>
      <c r="C11" s="10" t="inlineStr">
        <is>
          <t>CEO Message</t>
        </is>
      </c>
      <c r="D11" s="28" t="inlineStr">
        <is>
          <t>💬 Message</t>
        </is>
      </c>
      <c r="E11" s="22" t="n">
        <v>1</v>
      </c>
      <c r="F11" s="23" t="inlineStr">
        <is>
          <t>7</t>
        </is>
      </c>
      <c r="G11" s="24" t="inlineStr">
        <is>
          <t>—</t>
        </is>
      </c>
      <c r="H11" s="16" t="inlineStr">
        <is>
          <t>—</t>
        </is>
      </c>
      <c r="I11" s="9" t="inlineStr">
        <is>
          <t>Executive Office</t>
        </is>
      </c>
      <c r="J11" s="16" t="inlineStr">
        <is>
          <t>—</t>
        </is>
      </c>
      <c r="K11" s="12" t="n"/>
      <c r="L11" s="12" t="n"/>
      <c r="M11" s="12" t="n"/>
      <c r="N11" s="12" t="n"/>
      <c r="O11" s="12" t="n"/>
      <c r="P11" s="12" t="n"/>
    </row>
    <row r="12" ht="26" customHeight="1">
      <c r="A12" s="9" t="n">
        <v>8</v>
      </c>
      <c r="B12" s="10" t="inlineStr">
        <is>
          <t>01 Front of Book</t>
        </is>
      </c>
      <c r="C12" s="10" t="inlineStr">
        <is>
          <t>President's Message</t>
        </is>
      </c>
      <c r="D12" s="28" t="inlineStr">
        <is>
          <t>💬 Message</t>
        </is>
      </c>
      <c r="E12" s="22" t="n">
        <v>1</v>
      </c>
      <c r="F12" s="23" t="inlineStr">
        <is>
          <t>8</t>
        </is>
      </c>
      <c r="G12" s="24" t="inlineStr">
        <is>
          <t>—</t>
        </is>
      </c>
      <c r="H12" s="16" t="inlineStr">
        <is>
          <t>—</t>
        </is>
      </c>
      <c r="I12" s="9" t="inlineStr">
        <is>
          <t>Executive Office</t>
        </is>
      </c>
      <c r="J12" s="16" t="inlineStr">
        <is>
          <t>—</t>
        </is>
      </c>
      <c r="K12" s="12" t="n"/>
      <c r="L12" s="12" t="n"/>
      <c r="M12" s="12" t="n"/>
      <c r="N12" s="12" t="n"/>
      <c r="O12" s="12" t="n"/>
      <c r="P12" s="12" t="n"/>
    </row>
    <row r="13" ht="26" customHeight="1">
      <c r="A13" s="9" t="n">
        <v>9</v>
      </c>
      <c r="B13" s="10" t="inlineStr">
        <is>
          <t>01 Front of Book</t>
        </is>
      </c>
      <c r="C13" s="10" t="inlineStr">
        <is>
          <t>The People Behind MECSR — The MECSR Team</t>
        </is>
      </c>
      <c r="D13" s="27" t="inlineStr">
        <is>
          <t>📰 Editorial</t>
        </is>
      </c>
      <c r="E13" s="22" t="n">
        <v>1</v>
      </c>
      <c r="F13" s="23" t="inlineStr">
        <is>
          <t>9</t>
        </is>
      </c>
      <c r="G13" s="24" t="inlineStr">
        <is>
          <t>—</t>
        </is>
      </c>
      <c r="H13" s="16" t="inlineStr">
        <is>
          <t>—</t>
        </is>
      </c>
      <c r="I13" s="9" t="inlineStr">
        <is>
          <t>Editorial</t>
        </is>
      </c>
      <c r="J13" s="10" t="inlineStr">
        <is>
          <t>2026 page carried forward — refresh portraits and titles for 2027</t>
        </is>
      </c>
      <c r="K13" s="12" t="n"/>
      <c r="L13" s="12" t="n"/>
      <c r="M13" s="12" t="n"/>
      <c r="N13" s="12" t="n"/>
      <c r="O13" s="12" t="n"/>
      <c r="P13" s="12" t="n"/>
    </row>
    <row r="14" ht="26" customHeight="1">
      <c r="A14" s="9" t="n">
        <v>10</v>
      </c>
      <c r="B14" s="10" t="inlineStr">
        <is>
          <t>01 Front of Book</t>
        </is>
      </c>
      <c r="C14" s="10" t="inlineStr">
        <is>
          <t>The People Behind MECSR — Founding Fathers</t>
        </is>
      </c>
      <c r="D14" s="27" t="inlineStr">
        <is>
          <t>📰 Editorial</t>
        </is>
      </c>
      <c r="E14" s="22" t="n">
        <v>1</v>
      </c>
      <c r="F14" s="23" t="inlineStr">
        <is>
          <t>10</t>
        </is>
      </c>
      <c r="G14" s="24" t="inlineStr">
        <is>
          <t>—</t>
        </is>
      </c>
      <c r="H14" s="16" t="inlineStr">
        <is>
          <t>—</t>
        </is>
      </c>
      <c r="I14" s="9" t="inlineStr">
        <is>
          <t>Editorial</t>
        </is>
      </c>
      <c r="J14" s="10" t="inlineStr">
        <is>
          <t>2026 page carried forward — refresh portraits and titles for 2027</t>
        </is>
      </c>
      <c r="K14" s="12" t="n"/>
      <c r="L14" s="12" t="n"/>
      <c r="M14" s="12" t="n"/>
      <c r="N14" s="12" t="n"/>
      <c r="O14" s="12" t="n"/>
      <c r="P14" s="12" t="n"/>
    </row>
    <row r="15" ht="26" customHeight="1">
      <c r="A15" s="9" t="n">
        <v>11</v>
      </c>
      <c r="B15" s="10" t="inlineStr">
        <is>
          <t>01 Front of Book</t>
        </is>
      </c>
      <c r="C15" s="10" t="inlineStr">
        <is>
          <t>The People Behind MECSR — Board of Directors</t>
        </is>
      </c>
      <c r="D15" s="27" t="inlineStr">
        <is>
          <t>📰 Editorial</t>
        </is>
      </c>
      <c r="E15" s="22" t="n">
        <v>1</v>
      </c>
      <c r="F15" s="23" t="inlineStr">
        <is>
          <t>11</t>
        </is>
      </c>
      <c r="G15" s="24" t="inlineStr">
        <is>
          <t>—</t>
        </is>
      </c>
      <c r="H15" s="16" t="inlineStr">
        <is>
          <t>—</t>
        </is>
      </c>
      <c r="I15" s="9" t="inlineStr">
        <is>
          <t>Editorial</t>
        </is>
      </c>
      <c r="J15" s="10" t="inlineStr">
        <is>
          <t>2026 page carried forward — refresh portraits and titles for 2027</t>
        </is>
      </c>
      <c r="K15" s="12" t="n"/>
      <c r="L15" s="12" t="n"/>
      <c r="M15" s="12" t="n"/>
      <c r="N15" s="12" t="n"/>
      <c r="O15" s="12" t="n"/>
      <c r="P15" s="12" t="n"/>
    </row>
    <row r="16" ht="26" customHeight="1">
      <c r="A16" s="9" t="n">
        <v>12</v>
      </c>
      <c r="B16" s="10" t="inlineStr">
        <is>
          <t>01 Front of Book</t>
        </is>
      </c>
      <c r="C16" s="10" t="inlineStr">
        <is>
          <t>The People Behind MECSR — Global Representatives</t>
        </is>
      </c>
      <c r="D16" s="27" t="inlineStr">
        <is>
          <t>📰 Editorial</t>
        </is>
      </c>
      <c r="E16" s="22" t="n">
        <v>1</v>
      </c>
      <c r="F16" s="23" t="inlineStr">
        <is>
          <t>12</t>
        </is>
      </c>
      <c r="G16" s="24" t="inlineStr">
        <is>
          <t>—</t>
        </is>
      </c>
      <c r="H16" s="16" t="inlineStr">
        <is>
          <t>—</t>
        </is>
      </c>
      <c r="I16" s="9" t="inlineStr">
        <is>
          <t>Editorial</t>
        </is>
      </c>
      <c r="J16" s="10" t="inlineStr">
        <is>
          <t>2026 page carried forward — refresh portraits and titles for 2027</t>
        </is>
      </c>
      <c r="K16" s="12" t="n"/>
      <c r="L16" s="12" t="n"/>
      <c r="M16" s="12" t="n"/>
      <c r="N16" s="12" t="n"/>
      <c r="O16" s="12" t="n"/>
      <c r="P16" s="12" t="n"/>
    </row>
    <row r="17" ht="26" customHeight="1">
      <c r="A17" s="9" t="n">
        <v>13</v>
      </c>
      <c r="B17" s="10" t="inlineStr">
        <is>
          <t>01 Front of Book</t>
        </is>
      </c>
      <c r="C17" s="10" t="inlineStr">
        <is>
          <t>The MECSR Classification Standard 2027</t>
        </is>
      </c>
      <c r="D17" s="27" t="inlineStr">
        <is>
          <t>📰 Editorial</t>
        </is>
      </c>
      <c r="E17" s="22" t="n">
        <v>6</v>
      </c>
      <c r="F17" s="23" t="inlineStr">
        <is>
          <t>13–18</t>
        </is>
      </c>
      <c r="G17" s="24" t="inlineStr">
        <is>
          <t>—</t>
        </is>
      </c>
      <c r="H17" s="16" t="inlineStr">
        <is>
          <t>—</t>
        </is>
      </c>
      <c r="I17" s="9" t="inlineStr">
        <is>
          <t>Editorial</t>
        </is>
      </c>
      <c r="J17" s="10" t="inlineStr">
        <is>
          <t>Scale x Format x Characteristics, with the worked examples</t>
        </is>
      </c>
      <c r="K17" s="12" t="n"/>
      <c r="L17" s="12" t="n"/>
      <c r="M17" s="12" t="n"/>
      <c r="N17" s="12" t="n"/>
      <c r="O17" s="12" t="n"/>
      <c r="P17" s="12" t="n"/>
    </row>
    <row r="18" ht="26" customHeight="1">
      <c r="A18" s="9" t="n">
        <v>14</v>
      </c>
      <c r="B18" s="10" t="inlineStr">
        <is>
          <t>02 Company Showcase (DPS)</t>
        </is>
      </c>
      <c r="C18" s="10" t="inlineStr">
        <is>
          <t>Showcase — opener &amp; contents</t>
        </is>
      </c>
      <c r="D18" s="26" t="inlineStr">
        <is>
          <t>📑 TOC</t>
        </is>
      </c>
      <c r="E18" s="22" t="n">
        <v>2</v>
      </c>
      <c r="F18" s="23" t="inlineStr">
        <is>
          <t>19–20</t>
        </is>
      </c>
      <c r="G18" s="24" t="inlineStr">
        <is>
          <t>—</t>
        </is>
      </c>
      <c r="H18" s="16" t="inlineStr">
        <is>
          <t>—</t>
        </is>
      </c>
      <c r="I18" s="9" t="inlineStr">
        <is>
          <t>Editorial</t>
        </is>
      </c>
      <c r="J18" s="10" t="inlineStr">
        <is>
          <t>Section opener plus the contents list of who is on which spread</t>
        </is>
      </c>
      <c r="K18" s="12" t="n"/>
      <c r="L18" s="12" t="n"/>
      <c r="M18" s="12" t="n"/>
      <c r="N18" s="12" t="n"/>
      <c r="O18" s="12" t="n"/>
      <c r="P18" s="12" t="n"/>
    </row>
    <row r="19" ht="26" customHeight="1">
      <c r="A19" s="9" t="n">
        <v>15</v>
      </c>
      <c r="B19" s="10" t="inlineStr">
        <is>
          <t>02 Company Showcase (DPS)</t>
        </is>
      </c>
      <c r="C19" s="10" t="inlineStr">
        <is>
          <t>DPS — Cenomi Centers</t>
        </is>
      </c>
      <c r="D19" s="29" t="inlineStr">
        <is>
          <t>⭐ Showcase</t>
        </is>
      </c>
      <c r="E19" s="22" t="n">
        <v>2</v>
      </c>
      <c r="F19" s="23" t="inlineStr">
        <is>
          <t>21–22</t>
        </is>
      </c>
      <c r="G19" s="24" t="inlineStr">
        <is>
          <t>—</t>
        </is>
      </c>
      <c r="H19" s="10" t="inlineStr">
        <is>
          <t>1. DIAMOND SPONSOR</t>
        </is>
      </c>
      <c r="I19" s="9" t="inlineStr">
        <is>
          <t>Client (contracted)</t>
        </is>
      </c>
      <c r="J19" s="10" t="inlineStr">
        <is>
          <t>20 centres · ~1.2m sqm GLA · targeting 1.9m by 2029 · Angle: The Westfield decade — importing a global operating standard into the Kingdom · Imagery: Westfield Riyadh atrium; Mall of Arabia Jeddah</t>
        </is>
      </c>
      <c r="K19" s="12" t="n"/>
      <c r="L19" s="12" t="n"/>
      <c r="M19" s="12" t="n"/>
      <c r="N19" s="12" t="n"/>
      <c r="O19" s="12" t="n"/>
      <c r="P19" s="12" t="n"/>
    </row>
    <row r="20" ht="26" customHeight="1">
      <c r="A20" s="9" t="n">
        <v>16</v>
      </c>
      <c r="B20" s="10" t="inlineStr">
        <is>
          <t>02 Company Showcase (DPS)</t>
        </is>
      </c>
      <c r="C20" s="10" t="inlineStr">
        <is>
          <t>DPS — Unified Real Estate Development</t>
        </is>
      </c>
      <c r="D20" s="29" t="inlineStr">
        <is>
          <t>⭐ Showcase</t>
        </is>
      </c>
      <c r="E20" s="22" t="n">
        <v>2</v>
      </c>
      <c r="F20" s="23" t="inlineStr">
        <is>
          <t>23–24</t>
        </is>
      </c>
      <c r="G20" s="24" t="inlineStr">
        <is>
          <t>—</t>
        </is>
      </c>
      <c r="H20" s="10" t="inlineStr">
        <is>
          <t>1. DIAMOND SPONSOR</t>
        </is>
      </c>
      <c r="I20" s="9" t="inlineStr">
        <is>
          <t>Client (contracted)</t>
        </is>
      </c>
      <c r="J20" s="10" t="inlineStr">
        <is>
          <t>The Esplanade · 1364 Diplomatic Quarter · Town Square · The Bellevue · Angle: Open-air by design — the outdoor centre as the Saudi default, not the exception · Imagery: The Bellevue renders; 1364 colonnades at dusk</t>
        </is>
      </c>
      <c r="K20" s="12" t="n"/>
      <c r="L20" s="12" t="n"/>
      <c r="M20" s="12" t="n"/>
      <c r="N20" s="12" t="n"/>
      <c r="O20" s="12" t="n"/>
      <c r="P20" s="12" t="n"/>
    </row>
    <row r="21" ht="26" customHeight="1">
      <c r="A21" s="9" t="n">
        <v>17</v>
      </c>
      <c r="B21" s="10" t="inlineStr">
        <is>
          <t>02 Company Showcase (DPS)</t>
        </is>
      </c>
      <c r="C21" s="10" t="inlineStr">
        <is>
          <t>DPS — Al Othaim Investment</t>
        </is>
      </c>
      <c r="D21" s="29" t="inlineStr">
        <is>
          <t>⭐ Showcase</t>
        </is>
      </c>
      <c r="E21" s="22" t="n">
        <v>2</v>
      </c>
      <c r="F21" s="23" t="inlineStr">
        <is>
          <t>25–26</t>
        </is>
      </c>
      <c r="G21" s="24" t="inlineStr">
        <is>
          <t>—</t>
        </is>
      </c>
      <c r="H21" s="10" t="inlineStr">
        <is>
          <t>1. DIAMOND SPONSOR</t>
        </is>
      </c>
      <c r="I21" s="9" t="inlineStr">
        <is>
          <t>Client (contracted)</t>
        </is>
      </c>
      <c r="J21" s="10" t="inlineStr">
        <is>
          <t>8 malls trading · 30 planned by 2030 · SAR 10bn+ committed · Angle: The secondary-city thesis — building where the catchment is underserved · Imagery: Othaim Mall Khurais; Grand Mall Hail</t>
        </is>
      </c>
      <c r="K21" s="12" t="n"/>
      <c r="L21" s="12" t="n"/>
      <c r="M21" s="12" t="n"/>
      <c r="N21" s="12" t="n"/>
      <c r="O21" s="12" t="n"/>
      <c r="P21" s="12" t="n"/>
    </row>
    <row r="22" ht="26" customHeight="1">
      <c r="A22" s="9" t="n">
        <v>18</v>
      </c>
      <c r="B22" s="10" t="inlineStr">
        <is>
          <t>02 Company Showcase (DPS)</t>
        </is>
      </c>
      <c r="C22" s="10" t="inlineStr">
        <is>
          <t>DPS — Azad Properties</t>
        </is>
      </c>
      <c r="D22" s="29" t="inlineStr">
        <is>
          <t>⭐ Showcase</t>
        </is>
      </c>
      <c r="E22" s="22" t="n">
        <v>2</v>
      </c>
      <c r="F22" s="23" t="inlineStr">
        <is>
          <t>27–28</t>
        </is>
      </c>
      <c r="G22" s="24" t="inlineStr">
        <is>
          <t>—</t>
        </is>
      </c>
      <c r="H22" s="10" t="inlineStr">
        <is>
          <t>1. DIAMOND SPONSOR</t>
        </is>
      </c>
      <c r="I22" s="9" t="inlineStr">
        <is>
          <t>Client (contracted)</t>
        </is>
      </c>
      <c r="J22" s="10" t="inlineStr">
        <is>
          <t>16 managed properties · 2.3m sqm · 36m+ annual visitors · Angle: Souq7 — proving the traditional souq scales without losing what makes it a souq · Imagery: Souq7 open-air zones, opening-night drone show</t>
        </is>
      </c>
      <c r="K22" s="12" t="n"/>
      <c r="L22" s="12" t="n"/>
      <c r="M22" s="12" t="n"/>
      <c r="N22" s="12" t="n"/>
      <c r="O22" s="12" t="n"/>
      <c r="P22" s="12" t="n"/>
    </row>
    <row r="23" ht="26" customHeight="1">
      <c r="A23" s="9" t="n">
        <v>19</v>
      </c>
      <c r="B23" s="10" t="inlineStr">
        <is>
          <t>02 Company Showcase (DPS)</t>
        </is>
      </c>
      <c r="C23" s="10" t="inlineStr">
        <is>
          <t>DPS — Knowledge Economic City</t>
        </is>
      </c>
      <c r="D23" s="29" t="inlineStr">
        <is>
          <t>⭐ Showcase</t>
        </is>
      </c>
      <c r="E23" s="22" t="n">
        <v>2</v>
      </c>
      <c r="F23" s="23" t="inlineStr">
        <is>
          <t>29–30</t>
        </is>
      </c>
      <c r="G23" s="24" t="inlineStr">
        <is>
          <t>—</t>
        </is>
      </c>
      <c r="H23" s="10" t="inlineStr">
        <is>
          <t>2. PLATINUM SPONSOR</t>
        </is>
      </c>
      <c r="I23" s="9" t="inlineStr">
        <is>
          <t>Client (contracted)</t>
        </is>
      </c>
      <c r="J23" s="10" t="inlineStr">
        <is>
          <t>6.8m sqm masterplan · SAR 24bn committed · Madinah · Angle: Retail underwritten by pilgrimage, not by the economic cycle · Imagery: Multaqa AlMadinah renders; Madinah skyline</t>
        </is>
      </c>
      <c r="K23" s="12" t="n"/>
      <c r="L23" s="12" t="n"/>
      <c r="M23" s="12" t="n"/>
      <c r="N23" s="12" t="n"/>
      <c r="O23" s="12" t="n"/>
      <c r="P23" s="12" t="n"/>
    </row>
    <row r="24" ht="26" customHeight="1">
      <c r="A24" s="9" t="n">
        <v>20</v>
      </c>
      <c r="B24" s="10" t="inlineStr">
        <is>
          <t>02 Company Showcase (DPS)</t>
        </is>
      </c>
      <c r="C24" s="10" t="inlineStr">
        <is>
          <t>DPS — Red Sea Malls</t>
        </is>
      </c>
      <c r="D24" s="29" t="inlineStr">
        <is>
          <t>⭐ Showcase</t>
        </is>
      </c>
      <c r="E24" s="22" t="n">
        <v>2</v>
      </c>
      <c r="F24" s="23" t="inlineStr">
        <is>
          <t>31–32</t>
        </is>
      </c>
      <c r="G24" s="24" t="inlineStr">
        <is>
          <t>—</t>
        </is>
      </c>
      <c r="H24" s="10" t="inlineStr">
        <is>
          <t>2. PLATINUM SPONSOR</t>
        </is>
      </c>
      <c r="I24" s="9" t="inlineStr">
        <is>
          <t>Client (contracted)</t>
        </is>
      </c>
      <c r="J24" s="10" t="inlineStr">
        <is>
          <t>Red Sea Mall Jeddah · 17m+ visitors a year · attached five-star hotel · Angle: Repositioning a mature flagship without adding a square metre · Imagery: Domed central atrium; the linked Joudyan tower</t>
        </is>
      </c>
      <c r="K24" s="12" t="n"/>
      <c r="L24" s="12" t="n"/>
      <c r="M24" s="12" t="n"/>
      <c r="N24" s="12" t="n"/>
      <c r="O24" s="12" t="n"/>
      <c r="P24" s="12" t="n"/>
    </row>
    <row r="25" ht="26" customHeight="1">
      <c r="A25" s="9" t="n">
        <v>21</v>
      </c>
      <c r="B25" s="10" t="inlineStr">
        <is>
          <t>02 Company Showcase (DPS)</t>
        </is>
      </c>
      <c r="C25" s="10" t="inlineStr">
        <is>
          <t>DPS — OPEN SLOT — to be sold</t>
        </is>
      </c>
      <c r="D25" s="29" t="inlineStr">
        <is>
          <t>⭐ Showcase</t>
        </is>
      </c>
      <c r="E25" s="22" t="n">
        <v>2</v>
      </c>
      <c r="F25" s="23" t="inlineStr">
        <is>
          <t>33–34</t>
        </is>
      </c>
      <c r="G25" s="24" t="inlineStr">
        <is>
          <t>—</t>
        </is>
      </c>
      <c r="H25" s="16" t="inlineStr">
        <is>
          <t>—</t>
        </is>
      </c>
      <c r="I25" s="9" t="inlineStr">
        <is>
          <t>Client (contracted)</t>
        </is>
      </c>
      <c r="J25" s="10" t="inlineStr">
        <is>
          <t>Open double-page spread — still to sell</t>
        </is>
      </c>
      <c r="K25" s="12" t="n"/>
      <c r="L25" s="12" t="n"/>
      <c r="M25" s="12" t="n"/>
      <c r="N25" s="12" t="n"/>
      <c r="O25" s="12" t="n"/>
      <c r="P25" s="12" t="n"/>
    </row>
    <row r="26" ht="26" customHeight="1">
      <c r="A26" s="9" t="n">
        <v>22</v>
      </c>
      <c r="B26" s="10" t="inlineStr">
        <is>
          <t>02 Company Showcase (DPS)</t>
        </is>
      </c>
      <c r="C26" s="10" t="inlineStr">
        <is>
          <t>DPS — OPEN SLOT — to be sold</t>
        </is>
      </c>
      <c r="D26" s="29" t="inlineStr">
        <is>
          <t>⭐ Showcase</t>
        </is>
      </c>
      <c r="E26" s="22" t="n">
        <v>2</v>
      </c>
      <c r="F26" s="23" t="inlineStr">
        <is>
          <t>35–36</t>
        </is>
      </c>
      <c r="G26" s="24" t="inlineStr">
        <is>
          <t>—</t>
        </is>
      </c>
      <c r="H26" s="16" t="inlineStr">
        <is>
          <t>—</t>
        </is>
      </c>
      <c r="I26" s="9" t="inlineStr">
        <is>
          <t>Client (contracted)</t>
        </is>
      </c>
      <c r="J26" s="10" t="inlineStr">
        <is>
          <t>Open double-page spread — still to sell</t>
        </is>
      </c>
      <c r="K26" s="12" t="n"/>
      <c r="L26" s="12" t="n"/>
      <c r="M26" s="12" t="n"/>
      <c r="N26" s="12" t="n"/>
      <c r="O26" s="12" t="n"/>
      <c r="P26" s="12" t="n"/>
    </row>
    <row r="27" ht="26" customHeight="1">
      <c r="A27" s="9" t="n">
        <v>23</v>
      </c>
      <c r="B27" s="10" t="inlineStr">
        <is>
          <t>03 Expert Views</t>
        </is>
      </c>
      <c r="C27" s="10" t="inlineStr">
        <is>
          <t>Expert Views — opener &amp; contents</t>
        </is>
      </c>
      <c r="D27" s="26" t="inlineStr">
        <is>
          <t>📑 TOC</t>
        </is>
      </c>
      <c r="E27" s="22" t="n">
        <v>2</v>
      </c>
      <c r="F27" s="23" t="inlineStr">
        <is>
          <t>37–38</t>
        </is>
      </c>
      <c r="G27" s="24" t="inlineStr">
        <is>
          <t>—</t>
        </is>
      </c>
      <c r="H27" s="16" t="inlineStr">
        <is>
          <t>—</t>
        </is>
      </c>
      <c r="I27" s="9" t="inlineStr">
        <is>
          <t>Editorial</t>
        </is>
      </c>
      <c r="J27" s="10" t="inlineStr">
        <is>
          <t>Section opener plus the contents list of author, subject and spread</t>
        </is>
      </c>
      <c r="K27" s="12" t="n"/>
      <c r="L27" s="12" t="n"/>
      <c r="M27" s="12" t="n"/>
      <c r="N27" s="12" t="n"/>
      <c r="O27" s="12" t="n"/>
      <c r="P27" s="12" t="n"/>
    </row>
    <row r="28" ht="26" customHeight="1">
      <c r="A28" s="9" t="n">
        <v>24</v>
      </c>
      <c r="B28" s="10" t="inlineStr">
        <is>
          <t>03 Expert Views</t>
        </is>
      </c>
      <c r="C28" s="10" t="inlineStr">
        <is>
          <t>Cenomi Centers — "What Westfield Actually Changes"</t>
        </is>
      </c>
      <c r="D28" s="30" t="inlineStr">
        <is>
          <t>✍️ Article</t>
        </is>
      </c>
      <c r="E28" s="22" t="n">
        <v>2</v>
      </c>
      <c r="F28" s="23" t="inlineStr">
        <is>
          <t>39–40</t>
        </is>
      </c>
      <c r="G28" s="24" t="inlineStr">
        <is>
          <t>—</t>
        </is>
      </c>
      <c r="H28" s="10" t="inlineStr">
        <is>
          <t>Cenomi Centers</t>
        </is>
      </c>
      <c r="I28" s="9" t="inlineStr">
        <is>
          <t>Client (contracted)</t>
        </is>
      </c>
      <c r="J28" s="10" t="inlineStr">
        <is>
          <t>Alison Rehill-Erguven, Chief Executive Officer. A global brand licence is an operating discipline before it is a logo. On what had to change inside the business before the first Westfield centre could open in the Kingdom. Basis: URW licence Dec 2024; Westfield Riyadh opens Q4 2026.</t>
        </is>
      </c>
      <c r="K28" s="12" t="n"/>
      <c r="L28" s="12" t="n"/>
      <c r="M28" s="12" t="n"/>
      <c r="N28" s="12" t="n"/>
      <c r="O28" s="12" t="n"/>
      <c r="P28" s="12" t="n"/>
    </row>
    <row r="29" ht="26" customHeight="1">
      <c r="A29" s="9" t="n">
        <v>25</v>
      </c>
      <c r="B29" s="10" t="inlineStr">
        <is>
          <t>03 Expert Views</t>
        </is>
      </c>
      <c r="C29" s="10" t="inlineStr">
        <is>
          <t>Knowledge Economic City — "Ten Million Visitors Who Did Not Come to Shop"</t>
        </is>
      </c>
      <c r="D29" s="30" t="inlineStr">
        <is>
          <t>✍️ Article</t>
        </is>
      </c>
      <c r="E29" s="22" t="n">
        <v>2</v>
      </c>
      <c r="F29" s="23" t="inlineStr">
        <is>
          <t>41–42</t>
        </is>
      </c>
      <c r="G29" s="24" t="inlineStr">
        <is>
          <t>—</t>
        </is>
      </c>
      <c r="H29" s="10" t="inlineStr">
        <is>
          <t>Knowledge Economic City</t>
        </is>
      </c>
      <c r="I29" s="9" t="inlineStr">
        <is>
          <t>Client (contracted)</t>
        </is>
      </c>
      <c r="J29" s="10" t="inlineStr">
        <is>
          <t>Dr. Moath Al Yahya, Chief Executive Officer. Madinah's demand anchor is pilgrimage. Why that makes retail underwriting in a faith-tourism city a different exercise from anywhere else in the region. Basis: SAR 24bn committed, announced FHS Saudi Arabia June 2026.</t>
        </is>
      </c>
      <c r="K29" s="12" t="n"/>
      <c r="L29" s="12" t="n"/>
      <c r="M29" s="12" t="n"/>
      <c r="N29" s="12" t="n"/>
      <c r="O29" s="12" t="n"/>
      <c r="P29" s="12" t="n"/>
    </row>
    <row r="30" ht="26" customHeight="1">
      <c r="A30" s="9" t="n">
        <v>26</v>
      </c>
      <c r="B30" s="10" t="inlineStr">
        <is>
          <t>03 Expert Views</t>
        </is>
      </c>
      <c r="C30" s="10" t="inlineStr">
        <is>
          <t>Azad Properties — "A Souq at 720,000 Square Metres"</t>
        </is>
      </c>
      <c r="D30" s="30" t="inlineStr">
        <is>
          <t>✍️ Article</t>
        </is>
      </c>
      <c r="E30" s="22" t="n">
        <v>2</v>
      </c>
      <c r="F30" s="23" t="inlineStr">
        <is>
          <t>43–44</t>
        </is>
      </c>
      <c r="G30" s="24" t="inlineStr">
        <is>
          <t>—</t>
        </is>
      </c>
      <c r="H30" s="10" t="inlineStr">
        <is>
          <t>Azad Properties</t>
        </is>
      </c>
      <c r="I30" s="9" t="inlineStr">
        <is>
          <t>Client (contracted)</t>
        </is>
      </c>
      <c r="J30" s="10" t="inlineStr">
        <is>
          <t>Ayman Al Burti, Chief Executive Officer. Scale usually flattens the thing it scales. What Souq7 did to keep the format intact while making the economics work. Basis: Souq7 opened 10 Dec 2025.</t>
        </is>
      </c>
      <c r="K30" s="12" t="n"/>
      <c r="L30" s="12" t="n"/>
      <c r="M30" s="12" t="n"/>
      <c r="N30" s="12" t="n"/>
      <c r="O30" s="12" t="n"/>
      <c r="P30" s="12" t="n"/>
    </row>
    <row r="31" ht="26" customHeight="1">
      <c r="A31" s="9" t="n">
        <v>27</v>
      </c>
      <c r="B31" s="10" t="inlineStr">
        <is>
          <t>03 Expert Views</t>
        </is>
      </c>
      <c r="C31" s="10" t="inlineStr">
        <is>
          <t>Red Sea Malls — "Twenty Years In, and Trading Better"</t>
        </is>
      </c>
      <c r="D31" s="30" t="inlineStr">
        <is>
          <t>✍️ Article</t>
        </is>
      </c>
      <c r="E31" s="22" t="n">
        <v>2</v>
      </c>
      <c r="F31" s="23" t="inlineStr">
        <is>
          <t>45–46</t>
        </is>
      </c>
      <c r="G31" s="24" t="inlineStr">
        <is>
          <t>—</t>
        </is>
      </c>
      <c r="H31" s="10" t="inlineStr">
        <is>
          <t>Red Sea Malls</t>
        </is>
      </c>
      <c r="I31" s="9" t="inlineStr">
        <is>
          <t>Client (contracted)</t>
        </is>
      </c>
      <c r="J31" s="10" t="inlineStr">
        <is>
          <t>Ibrahim Al Qasmi, Chief Executive Officer. The case for reworking 10,000 sqm of an existing centre rather than building 100,000 new ones — and what the wellness and beauty categories did to dwell time. Basis: May 2025 remerchandising, 20+ new concepts.</t>
        </is>
      </c>
      <c r="K31" s="12" t="n"/>
      <c r="L31" s="12" t="n"/>
      <c r="M31" s="12" t="n"/>
      <c r="N31" s="12" t="n"/>
      <c r="O31" s="12" t="n"/>
      <c r="P31" s="12" t="n"/>
    </row>
    <row r="32" ht="26" customHeight="1">
      <c r="A32" s="9" t="n">
        <v>28</v>
      </c>
      <c r="B32" s="10" t="inlineStr">
        <is>
          <t>03 Expert Views</t>
        </is>
      </c>
      <c r="C32" s="10" t="inlineStr">
        <is>
          <t>Danah Real Estate — "Renovating a Mall That Never Closes"</t>
        </is>
      </c>
      <c r="D32" s="30" t="inlineStr">
        <is>
          <t>✍️ Article</t>
        </is>
      </c>
      <c r="E32" s="22" t="n">
        <v>2</v>
      </c>
      <c r="F32" s="23" t="inlineStr">
        <is>
          <t>47–48</t>
        </is>
      </c>
      <c r="G32" s="24" t="inlineStr">
        <is>
          <t>—</t>
        </is>
      </c>
      <c r="H32" s="10" t="inlineStr">
        <is>
          <t>Danah Real Estate</t>
        </is>
      </c>
      <c r="I32" s="9" t="inlineStr">
        <is>
          <t>Client (contracted)</t>
        </is>
      </c>
      <c r="J32" s="10" t="inlineStr">
        <is>
          <t>Yasser Al Kaltham, Chief Commercial Officer. Al Rashid Mall has been rebuilt around its shoppers since February 2023 without shutting a single trading day. The operational cost of that decision, and why it was still the right one. Basis: Trading-while-renovating since Feb 2023; Fashion Avenue, Al Rashid Walk, The Dome.</t>
        </is>
      </c>
      <c r="K32" s="12" t="n"/>
      <c r="L32" s="12" t="n"/>
      <c r="M32" s="12" t="n"/>
      <c r="N32" s="12" t="n"/>
      <c r="O32" s="12" t="n"/>
      <c r="P32" s="12" t="n"/>
    </row>
    <row r="33" ht="26" customHeight="1">
      <c r="A33" s="9" t="n">
        <v>29</v>
      </c>
      <c r="B33" s="10" t="inlineStr">
        <is>
          <t>03 Expert Views</t>
        </is>
      </c>
      <c r="C33" s="10" t="inlineStr">
        <is>
          <t>Yardi Systems — "There Is No AI Without One Set of Numbers"</t>
        </is>
      </c>
      <c r="D33" s="30" t="inlineStr">
        <is>
          <t>✍️ Article</t>
        </is>
      </c>
      <c r="E33" s="22" t="n">
        <v>2</v>
      </c>
      <c r="F33" s="23" t="inlineStr">
        <is>
          <t>49–50</t>
        </is>
      </c>
      <c r="G33" s="24" t="inlineStr">
        <is>
          <t>—</t>
        </is>
      </c>
      <c r="H33" s="10" t="inlineStr">
        <is>
          <t>Yardi Systems</t>
        </is>
      </c>
      <c r="I33" s="9" t="inlineStr">
        <is>
          <t>Client (contracted)</t>
        </is>
      </c>
      <c r="J33" s="10" t="inlineStr">
        <is>
          <t>Neal Gemassmer, VP &amp; General Manager, International. Most landlords are three systems away from being able to use the tools they are being sold. On what a single source of truth actually requires. Basis: Gemassmer, published: 'AI relies on accurate data and a single source of truth'.</t>
        </is>
      </c>
      <c r="K33" s="12" t="n"/>
      <c r="L33" s="12" t="n"/>
      <c r="M33" s="12" t="n"/>
      <c r="N33" s="12" t="n"/>
      <c r="O33" s="12" t="n"/>
      <c r="P33" s="12" t="n"/>
    </row>
    <row r="34" ht="26" customHeight="1">
      <c r="A34" s="9" t="n">
        <v>30</v>
      </c>
      <c r="B34" s="10" t="inlineStr">
        <is>
          <t>03 Expert Views</t>
        </is>
      </c>
      <c r="C34" s="10" t="inlineStr">
        <is>
          <t>MRI Software — "Software That Knows Where It Is"</t>
        </is>
      </c>
      <c r="D34" s="30" t="inlineStr">
        <is>
          <t>✍️ Article</t>
        </is>
      </c>
      <c r="E34" s="22" t="n">
        <v>2</v>
      </c>
      <c r="F34" s="23" t="inlineStr">
        <is>
          <t>51–52</t>
        </is>
      </c>
      <c r="G34" s="24" t="inlineStr">
        <is>
          <t>—</t>
        </is>
      </c>
      <c r="H34" s="10" t="inlineStr">
        <is>
          <t>MRI Software</t>
        </is>
      </c>
      <c r="I34" s="9" t="inlineStr">
        <is>
          <t>Client (contracted)</t>
        </is>
      </c>
      <c r="J34" s="10" t="inlineStr">
        <is>
          <t>Robert Stringer, Managing Director, Middle East. Why regional property platforms fail when they are localised as an afterthought, and what changed when the engineering moved closer to the market. Basis: Riyadh office opened 22 Oct 2025.</t>
        </is>
      </c>
      <c r="K34" s="12" t="n"/>
      <c r="L34" s="12" t="n"/>
      <c r="M34" s="12" t="n"/>
      <c r="N34" s="12" t="n"/>
      <c r="O34" s="12" t="n"/>
      <c r="P34" s="12" t="n"/>
    </row>
    <row r="35" ht="26" customHeight="1">
      <c r="A35" s="9" t="n">
        <v>31</v>
      </c>
      <c r="B35" s="10" t="inlineStr">
        <is>
          <t>03 Expert Views</t>
        </is>
      </c>
      <c r="C35" s="10" t="inlineStr">
        <is>
          <t>LuckyOne Mall — "From Mall to District"</t>
        </is>
      </c>
      <c r="D35" s="30" t="inlineStr">
        <is>
          <t>✍️ Article</t>
        </is>
      </c>
      <c r="E35" s="22" t="n">
        <v>2</v>
      </c>
      <c r="F35" s="23" t="inlineStr">
        <is>
          <t>53–54</t>
        </is>
      </c>
      <c r="G35" s="24" t="inlineStr">
        <is>
          <t>—</t>
        </is>
      </c>
      <c r="H35" s="10" t="inlineStr">
        <is>
          <t>LuckyOne Mall</t>
        </is>
      </c>
      <c r="I35" s="9" t="inlineStr">
        <is>
          <t>Client (contracted)</t>
        </is>
      </c>
      <c r="J35" s="10" t="inlineStr">
        <is>
          <t>Saad Zuberi, Chief Executive Officer. Pakistan's largest centre is becoming a mixed-use address. What eight residential towers on the same podium do to a retail operating model. Basis: Lucky One Towers under construction; prior MECSR Q&amp;A with Zuberi.</t>
        </is>
      </c>
      <c r="K35" s="12" t="n"/>
      <c r="L35" s="12" t="n"/>
      <c r="M35" s="12" t="n"/>
      <c r="N35" s="12" t="n"/>
      <c r="O35" s="12" t="n"/>
      <c r="P35" s="12" t="n"/>
    </row>
    <row r="36" ht="26" customHeight="1">
      <c r="A36" s="9" t="n">
        <v>32</v>
      </c>
      <c r="B36" s="10" t="inlineStr">
        <is>
          <t>03 Expert Views</t>
        </is>
      </c>
      <c r="C36" s="10" t="inlineStr">
        <is>
          <t>Heartatwork Hospitality Consulting — "The Food Court Is Dead. Long Live the Food Court."</t>
        </is>
      </c>
      <c r="D36" s="30" t="inlineStr">
        <is>
          <t>✍️ Article</t>
        </is>
      </c>
      <c r="E36" s="22" t="n">
        <v>2</v>
      </c>
      <c r="F36" s="23" t="inlineStr">
        <is>
          <t>55–56</t>
        </is>
      </c>
      <c r="G36" s="24" t="inlineStr">
        <is>
          <t>—</t>
        </is>
      </c>
      <c r="H36" s="10" t="inlineStr">
        <is>
          <t>Heartatwork Hospitality Consulting</t>
        </is>
      </c>
      <c r="I36" s="9" t="inlineStr">
        <is>
          <t>Client (contracted)</t>
        </is>
      </c>
      <c r="J36" s="10" t="inlineStr">
        <is>
          <t>Will Odwarka, Founder &amp; Chief Executive Officer. Landlords keep leasing F&amp;B as though it were retail with a kitchen. Thirty years and a thousand openings say otherwise. Basis: Published ACROSS column of the same thesis; ACROSS Advisory Board.</t>
        </is>
      </c>
      <c r="K36" s="12" t="n"/>
      <c r="L36" s="12" t="n"/>
      <c r="M36" s="12" t="n"/>
      <c r="N36" s="12" t="n"/>
      <c r="O36" s="12" t="n"/>
      <c r="P36" s="12" t="n"/>
    </row>
    <row r="37" ht="26" customHeight="1">
      <c r="A37" s="9" t="n">
        <v>33</v>
      </c>
      <c r="B37" s="10" t="inlineStr">
        <is>
          <t>04 Country Profiles (GMRC)</t>
        </is>
      </c>
      <c r="C37" s="10" t="inlineStr">
        <is>
          <t>Country Profiles — opener &amp; contents</t>
        </is>
      </c>
      <c r="D37" s="26" t="inlineStr">
        <is>
          <t>📑 TOC</t>
        </is>
      </c>
      <c r="E37" s="22" t="n">
        <v>2</v>
      </c>
      <c r="F37" s="23" t="inlineStr">
        <is>
          <t>57–58</t>
        </is>
      </c>
      <c r="G37" s="24" t="inlineStr">
        <is>
          <t>—</t>
        </is>
      </c>
      <c r="H37" s="16" t="inlineStr">
        <is>
          <t>—</t>
        </is>
      </c>
      <c r="I37" s="9" t="inlineStr">
        <is>
          <t>Editorial</t>
        </is>
      </c>
      <c r="J37" s="10" t="inlineStr">
        <is>
          <t>Section opener plus the contents list of the twelve markets</t>
        </is>
      </c>
      <c r="K37" s="12" t="n"/>
      <c r="L37" s="12" t="n"/>
      <c r="M37" s="12" t="n"/>
      <c r="N37" s="12" t="n"/>
      <c r="O37" s="12" t="n"/>
      <c r="P37" s="12" t="n"/>
    </row>
    <row r="38" ht="26" customHeight="1">
      <c r="A38" s="9" t="n">
        <v>34</v>
      </c>
      <c r="B38" s="10" t="inlineStr">
        <is>
          <t>04 Country Profiles (GMRC)</t>
        </is>
      </c>
      <c r="C38" s="10" t="inlineStr">
        <is>
          <t>Bahrain, Egypt, Georgia</t>
        </is>
      </c>
      <c r="D38" s="31" t="inlineStr">
        <is>
          <t>🌍 Country Profile</t>
        </is>
      </c>
      <c r="E38" s="22" t="n">
        <v>2</v>
      </c>
      <c r="F38" s="23" t="inlineStr">
        <is>
          <t>59–60</t>
        </is>
      </c>
      <c r="G38" s="24" t="inlineStr">
        <is>
          <t>—</t>
        </is>
      </c>
      <c r="H38" s="16" t="inlineStr">
        <is>
          <t>—</t>
        </is>
      </c>
      <c r="I38" s="9" t="inlineStr">
        <is>
          <t>Research</t>
        </is>
      </c>
      <c r="J38" s="10" t="inlineStr">
        <is>
          <t>GMRC macro + retail indicators, refreshed annually</t>
        </is>
      </c>
      <c r="K38" s="12" t="n"/>
      <c r="L38" s="12" t="n"/>
      <c r="M38" s="12" t="n"/>
      <c r="N38" s="12" t="n"/>
      <c r="O38" s="12" t="n"/>
      <c r="P38" s="12" t="n"/>
    </row>
    <row r="39" ht="26" customHeight="1">
      <c r="A39" s="9" t="n">
        <v>35</v>
      </c>
      <c r="B39" s="10" t="inlineStr">
        <is>
          <t>04 Country Profiles (GMRC)</t>
        </is>
      </c>
      <c r="C39" s="10" t="inlineStr">
        <is>
          <t>Kazakhstan, Kenya, Kuwait</t>
        </is>
      </c>
      <c r="D39" s="31" t="inlineStr">
        <is>
          <t>🌍 Country Profile</t>
        </is>
      </c>
      <c r="E39" s="22" t="n">
        <v>2</v>
      </c>
      <c r="F39" s="23" t="inlineStr">
        <is>
          <t>61–62</t>
        </is>
      </c>
      <c r="G39" s="24" t="inlineStr">
        <is>
          <t>—</t>
        </is>
      </c>
      <c r="H39" s="16" t="inlineStr">
        <is>
          <t>—</t>
        </is>
      </c>
      <c r="I39" s="9" t="inlineStr">
        <is>
          <t>Research</t>
        </is>
      </c>
      <c r="J39" s="10" t="inlineStr">
        <is>
          <t>GMRC macro + retail indicators, refreshed annually</t>
        </is>
      </c>
      <c r="K39" s="12" t="n"/>
      <c r="L39" s="12" t="n"/>
      <c r="M39" s="12" t="n"/>
      <c r="N39" s="12" t="n"/>
      <c r="O39" s="12" t="n"/>
      <c r="P39" s="12" t="n"/>
    </row>
    <row r="40" ht="26" customHeight="1">
      <c r="A40" s="9" t="n">
        <v>36</v>
      </c>
      <c r="B40" s="10" t="inlineStr">
        <is>
          <t>04 Country Profiles (GMRC)</t>
        </is>
      </c>
      <c r="C40" s="10" t="inlineStr">
        <is>
          <t>Nigeria, Oman, Pakistan</t>
        </is>
      </c>
      <c r="D40" s="31" t="inlineStr">
        <is>
          <t>🌍 Country Profile</t>
        </is>
      </c>
      <c r="E40" s="22" t="n">
        <v>2</v>
      </c>
      <c r="F40" s="23" t="inlineStr">
        <is>
          <t>63–64</t>
        </is>
      </c>
      <c r="G40" s="24" t="inlineStr">
        <is>
          <t>—</t>
        </is>
      </c>
      <c r="H40" s="16" t="inlineStr">
        <is>
          <t>—</t>
        </is>
      </c>
      <c r="I40" s="9" t="inlineStr">
        <is>
          <t>Research</t>
        </is>
      </c>
      <c r="J40" s="10" t="inlineStr">
        <is>
          <t>GMRC macro + retail indicators, refreshed annually</t>
        </is>
      </c>
      <c r="K40" s="12" t="n"/>
      <c r="L40" s="12" t="n"/>
      <c r="M40" s="12" t="n"/>
      <c r="N40" s="12" t="n"/>
      <c r="O40" s="12" t="n"/>
      <c r="P40" s="12" t="n"/>
    </row>
    <row r="41" ht="26" customHeight="1">
      <c r="A41" s="9" t="n">
        <v>37</v>
      </c>
      <c r="B41" s="10" t="inlineStr">
        <is>
          <t>04 Country Profiles (GMRC)</t>
        </is>
      </c>
      <c r="C41" s="10" t="inlineStr">
        <is>
          <t>Tunisia, Turkiye, UAE</t>
        </is>
      </c>
      <c r="D41" s="31" t="inlineStr">
        <is>
          <t>🌍 Country Profile</t>
        </is>
      </c>
      <c r="E41" s="22" t="n">
        <v>2</v>
      </c>
      <c r="F41" s="23" t="inlineStr">
        <is>
          <t>65–66</t>
        </is>
      </c>
      <c r="G41" s="24" t="inlineStr">
        <is>
          <t>—</t>
        </is>
      </c>
      <c r="H41" s="16" t="inlineStr">
        <is>
          <t>—</t>
        </is>
      </c>
      <c r="I41" s="9" t="inlineStr">
        <is>
          <t>Research</t>
        </is>
      </c>
      <c r="J41" s="10" t="inlineStr">
        <is>
          <t>GMRC macro + retail indicators, refreshed annually</t>
        </is>
      </c>
      <c r="K41" s="12" t="n"/>
      <c r="L41" s="12" t="n"/>
      <c r="M41" s="12" t="n"/>
      <c r="N41" s="12" t="n"/>
      <c r="O41" s="12" t="n"/>
      <c r="P41" s="12" t="n"/>
    </row>
    <row r="42" ht="26" customHeight="1">
      <c r="A42" s="9" t="n">
        <v>38</v>
      </c>
      <c r="B42" s="10" t="inlineStr">
        <is>
          <t>05 Front-of-Book Ads</t>
        </is>
      </c>
      <c r="C42" s="10" t="inlineStr">
        <is>
          <t>Awards AD</t>
        </is>
      </c>
      <c r="D42" s="25" t="inlineStr">
        <is>
          <t>📢 Ad</t>
        </is>
      </c>
      <c r="E42" s="22" t="n">
        <v>1</v>
      </c>
      <c r="F42" s="23" t="inlineStr">
        <is>
          <t>67</t>
        </is>
      </c>
      <c r="G42" s="22" t="inlineStr">
        <is>
          <t>45–46</t>
        </is>
      </c>
      <c r="H42" s="16" t="inlineStr">
        <is>
          <t>—</t>
        </is>
      </c>
      <c r="I42" s="9" t="inlineStr">
        <is>
          <t>Sales / Client</t>
        </is>
      </c>
      <c r="J42" s="10" t="inlineStr">
        <is>
          <t>Full page — 67|68 and 69|70 are the two ad spreads</t>
        </is>
      </c>
      <c r="K42" s="12" t="n"/>
      <c r="L42" s="12" t="n"/>
      <c r="M42" s="12" t="n"/>
      <c r="N42" s="12" t="n"/>
      <c r="O42" s="12" t="n"/>
      <c r="P42" s="12" t="n"/>
    </row>
    <row r="43" ht="26" customHeight="1">
      <c r="A43" s="9" t="n">
        <v>39</v>
      </c>
      <c r="B43" s="10" t="inlineStr">
        <is>
          <t>05 Front-of-Book Ads</t>
        </is>
      </c>
      <c r="C43" s="10" t="inlineStr">
        <is>
          <t>RPM AD</t>
        </is>
      </c>
      <c r="D43" s="25" t="inlineStr">
        <is>
          <t>📢 Ad</t>
        </is>
      </c>
      <c r="E43" s="22" t="n">
        <v>1</v>
      </c>
      <c r="F43" s="23" t="inlineStr">
        <is>
          <t>68</t>
        </is>
      </c>
      <c r="G43" s="24" t="inlineStr">
        <is>
          <t>—</t>
        </is>
      </c>
      <c r="H43" s="16" t="inlineStr">
        <is>
          <t>—</t>
        </is>
      </c>
      <c r="I43" s="9" t="inlineStr">
        <is>
          <t>Sales / Client</t>
        </is>
      </c>
      <c r="J43" s="10" t="inlineStr">
        <is>
          <t>Full page — 67|68 and 69|70 are the two ad spreads</t>
        </is>
      </c>
      <c r="K43" s="12" t="n"/>
      <c r="L43" s="12" t="n"/>
      <c r="M43" s="12" t="n"/>
      <c r="N43" s="12" t="n"/>
      <c r="O43" s="12" t="n"/>
      <c r="P43" s="12" t="n"/>
    </row>
    <row r="44" ht="26" customHeight="1">
      <c r="A44" s="9" t="n">
        <v>40</v>
      </c>
      <c r="B44" s="10" t="inlineStr">
        <is>
          <t>05 Front-of-Book Ads</t>
        </is>
      </c>
      <c r="C44" s="10" t="inlineStr">
        <is>
          <t>RCM AD</t>
        </is>
      </c>
      <c r="D44" s="25" t="inlineStr">
        <is>
          <t>📢 Ad</t>
        </is>
      </c>
      <c r="E44" s="22" t="n">
        <v>1</v>
      </c>
      <c r="F44" s="23" t="inlineStr">
        <is>
          <t>69</t>
        </is>
      </c>
      <c r="G44" s="24" t="inlineStr">
        <is>
          <t>—</t>
        </is>
      </c>
      <c r="H44" s="16" t="inlineStr">
        <is>
          <t>—</t>
        </is>
      </c>
      <c r="I44" s="9" t="inlineStr">
        <is>
          <t>Sales / Client</t>
        </is>
      </c>
      <c r="J44" s="10" t="inlineStr">
        <is>
          <t>Full page — 67|68 and 69|70 are the two ad spreads</t>
        </is>
      </c>
      <c r="K44" s="12" t="n"/>
      <c r="L44" s="12" t="n"/>
      <c r="M44" s="12" t="n"/>
      <c r="N44" s="12" t="n"/>
      <c r="O44" s="12" t="n"/>
      <c r="P44" s="12" t="n"/>
    </row>
    <row r="45" ht="26" customHeight="1">
      <c r="A45" s="9" t="n">
        <v>41</v>
      </c>
      <c r="B45" s="10" t="inlineStr">
        <is>
          <t>05 Front-of-Book Ads</t>
        </is>
      </c>
      <c r="C45" s="10" t="inlineStr">
        <is>
          <t>GVS AD</t>
        </is>
      </c>
      <c r="D45" s="25" t="inlineStr">
        <is>
          <t>📢 Ad</t>
        </is>
      </c>
      <c r="E45" s="22" t="n">
        <v>1</v>
      </c>
      <c r="F45" s="23" t="inlineStr">
        <is>
          <t>70</t>
        </is>
      </c>
      <c r="G45" s="24" t="inlineStr">
        <is>
          <t>—</t>
        </is>
      </c>
      <c r="H45" s="16" t="inlineStr">
        <is>
          <t>—</t>
        </is>
      </c>
      <c r="I45" s="9" t="inlineStr">
        <is>
          <t>Sales / Client</t>
        </is>
      </c>
      <c r="J45" s="10" t="inlineStr">
        <is>
          <t>Full page — 67|68 and 69|70 are the two ad spreads</t>
        </is>
      </c>
      <c r="K45" s="12" t="n"/>
      <c r="L45" s="12" t="n"/>
      <c r="M45" s="12" t="n"/>
      <c r="N45" s="12" t="n"/>
      <c r="O45" s="12" t="n"/>
      <c r="P45" s="12" t="n"/>
    </row>
    <row r="46" ht="26" customHeight="1">
      <c r="A46" s="9" t="n">
        <v>42</v>
      </c>
      <c r="B46" s="10" t="inlineStr">
        <is>
          <t>06 Must-Visit Destinations</t>
        </is>
      </c>
      <c r="C46" s="10" t="inlineStr">
        <is>
          <t>Must-Visit — section opener</t>
        </is>
      </c>
      <c r="D46" s="32" t="inlineStr">
        <is>
          <t>🏬 Feature</t>
        </is>
      </c>
      <c r="E46" s="22" t="n">
        <v>1</v>
      </c>
      <c r="F46" s="23" t="inlineStr">
        <is>
          <t>71</t>
        </is>
      </c>
      <c r="G46" s="22" t="inlineStr">
        <is>
          <t>59</t>
        </is>
      </c>
      <c r="H46" s="16" t="inlineStr">
        <is>
          <t>—</t>
        </is>
      </c>
      <c r="I46" s="9" t="inlineStr">
        <is>
          <t>Editorial</t>
        </is>
      </c>
      <c r="J46" s="10" t="inlineStr">
        <is>
          <t>Selection criteria and the 2027 shortlist</t>
        </is>
      </c>
      <c r="K46" s="12" t="n"/>
      <c r="L46" s="12" t="n"/>
      <c r="M46" s="12" t="n"/>
      <c r="N46" s="12" t="n"/>
      <c r="O46" s="12" t="n"/>
      <c r="P46" s="12" t="n"/>
    </row>
    <row r="47" ht="26" customHeight="1">
      <c r="A47" s="9" t="n">
        <v>43</v>
      </c>
      <c r="B47" s="10" t="inlineStr">
        <is>
          <t>06 Must-Visit Destinations</t>
        </is>
      </c>
      <c r="C47" s="10" t="inlineStr">
        <is>
          <t>Must-Visit — UAE</t>
        </is>
      </c>
      <c r="D47" s="32" t="inlineStr">
        <is>
          <t>🏬 Feature</t>
        </is>
      </c>
      <c r="E47" s="22" t="n">
        <v>1</v>
      </c>
      <c r="F47" s="23" t="inlineStr">
        <is>
          <t>72</t>
        </is>
      </c>
      <c r="G47" s="24" t="inlineStr">
        <is>
          <t>—</t>
        </is>
      </c>
      <c r="H47" s="16" t="inlineStr">
        <is>
          <t>—</t>
        </is>
      </c>
      <c r="I47" s="9" t="inlineStr">
        <is>
          <t>Editorial</t>
        </is>
      </c>
      <c r="J47" s="10" t="inlineStr">
        <is>
          <t>Full-bleed destination page — sponsorable as 'Presented by'</t>
        </is>
      </c>
      <c r="K47" s="12" t="n"/>
      <c r="L47" s="12" t="n"/>
      <c r="M47" s="12" t="n"/>
      <c r="N47" s="12" t="n"/>
      <c r="O47" s="12" t="n"/>
      <c r="P47" s="12" t="n"/>
    </row>
    <row r="48" ht="26" customHeight="1">
      <c r="A48" s="9" t="n">
        <v>44</v>
      </c>
      <c r="B48" s="10" t="inlineStr">
        <is>
          <t>06 Must-Visit Destinations</t>
        </is>
      </c>
      <c r="C48" s="10" t="inlineStr">
        <is>
          <t>Must-Visit — Saudi Arabia</t>
        </is>
      </c>
      <c r="D48" s="32" t="inlineStr">
        <is>
          <t>🏬 Feature</t>
        </is>
      </c>
      <c r="E48" s="22" t="n">
        <v>1</v>
      </c>
      <c r="F48" s="23" t="inlineStr">
        <is>
          <t>73</t>
        </is>
      </c>
      <c r="G48" s="24" t="inlineStr">
        <is>
          <t>—</t>
        </is>
      </c>
      <c r="H48" s="16" t="inlineStr">
        <is>
          <t>—</t>
        </is>
      </c>
      <c r="I48" s="9" t="inlineStr">
        <is>
          <t>Editorial</t>
        </is>
      </c>
      <c r="J48" s="10" t="inlineStr">
        <is>
          <t>Full-bleed destination page — sponsorable as 'Presented by'</t>
        </is>
      </c>
      <c r="K48" s="12" t="n"/>
      <c r="L48" s="12" t="n"/>
      <c r="M48" s="12" t="n"/>
      <c r="N48" s="12" t="n"/>
      <c r="O48" s="12" t="n"/>
      <c r="P48" s="12" t="n"/>
    </row>
    <row r="49" ht="26" customHeight="1">
      <c r="A49" s="9" t="n">
        <v>45</v>
      </c>
      <c r="B49" s="10" t="inlineStr">
        <is>
          <t>06 Must-Visit Destinations</t>
        </is>
      </c>
      <c r="C49" s="10" t="inlineStr">
        <is>
          <t>Must-Visit — Kuwait</t>
        </is>
      </c>
      <c r="D49" s="32" t="inlineStr">
        <is>
          <t>🏬 Feature</t>
        </is>
      </c>
      <c r="E49" s="22" t="n">
        <v>1</v>
      </c>
      <c r="F49" s="23" t="inlineStr">
        <is>
          <t>74</t>
        </is>
      </c>
      <c r="G49" s="24" t="inlineStr">
        <is>
          <t>—</t>
        </is>
      </c>
      <c r="H49" s="16" t="inlineStr">
        <is>
          <t>—</t>
        </is>
      </c>
      <c r="I49" s="9" t="inlineStr">
        <is>
          <t>Editorial</t>
        </is>
      </c>
      <c r="J49" s="10" t="inlineStr">
        <is>
          <t>Full-bleed destination page — sponsorable as 'Presented by'</t>
        </is>
      </c>
      <c r="K49" s="12" t="n"/>
      <c r="L49" s="12" t="n"/>
      <c r="M49" s="12" t="n"/>
      <c r="N49" s="12" t="n"/>
      <c r="O49" s="12" t="n"/>
      <c r="P49" s="12" t="n"/>
    </row>
    <row r="50" ht="26" customHeight="1">
      <c r="A50" s="9" t="n">
        <v>46</v>
      </c>
      <c r="B50" s="10" t="inlineStr">
        <is>
          <t>06 Must-Visit Destinations</t>
        </is>
      </c>
      <c r="C50" s="10" t="inlineStr">
        <is>
          <t>Must-Visit — Bahrain</t>
        </is>
      </c>
      <c r="D50" s="32" t="inlineStr">
        <is>
          <t>🏬 Feature</t>
        </is>
      </c>
      <c r="E50" s="22" t="n">
        <v>1</v>
      </c>
      <c r="F50" s="23" t="inlineStr">
        <is>
          <t>75</t>
        </is>
      </c>
      <c r="G50" s="24" t="inlineStr">
        <is>
          <t>—</t>
        </is>
      </c>
      <c r="H50" s="16" t="inlineStr">
        <is>
          <t>—</t>
        </is>
      </c>
      <c r="I50" s="9" t="inlineStr">
        <is>
          <t>Editorial</t>
        </is>
      </c>
      <c r="J50" s="10" t="inlineStr">
        <is>
          <t>Full-bleed destination page — sponsorable as 'Presented by'</t>
        </is>
      </c>
      <c r="K50" s="12" t="n"/>
      <c r="L50" s="12" t="n"/>
      <c r="M50" s="12" t="n"/>
      <c r="N50" s="12" t="n"/>
      <c r="O50" s="12" t="n"/>
      <c r="P50" s="12" t="n"/>
    </row>
    <row r="51" ht="26" customHeight="1">
      <c r="A51" s="9" t="n">
        <v>47</v>
      </c>
      <c r="B51" s="10" t="inlineStr">
        <is>
          <t>06 Must-Visit Destinations</t>
        </is>
      </c>
      <c r="C51" s="10" t="inlineStr">
        <is>
          <t>Must-Visit — Egypt</t>
        </is>
      </c>
      <c r="D51" s="32" t="inlineStr">
        <is>
          <t>🏬 Feature</t>
        </is>
      </c>
      <c r="E51" s="22" t="n">
        <v>1</v>
      </c>
      <c r="F51" s="23" t="inlineStr">
        <is>
          <t>76</t>
        </is>
      </c>
      <c r="G51" s="24" t="inlineStr">
        <is>
          <t>—</t>
        </is>
      </c>
      <c r="H51" s="16" t="inlineStr">
        <is>
          <t>—</t>
        </is>
      </c>
      <c r="I51" s="9" t="inlineStr">
        <is>
          <t>Editorial</t>
        </is>
      </c>
      <c r="J51" s="10" t="inlineStr">
        <is>
          <t>Full-bleed destination page — sponsorable as 'Presented by'</t>
        </is>
      </c>
      <c r="K51" s="12" t="n"/>
      <c r="L51" s="12" t="n"/>
      <c r="M51" s="12" t="n"/>
      <c r="N51" s="12" t="n"/>
      <c r="O51" s="12" t="n"/>
      <c r="P51" s="12" t="n"/>
    </row>
    <row r="52" ht="26" customHeight="1">
      <c r="A52" s="9" t="n">
        <v>48</v>
      </c>
      <c r="B52" s="10" t="inlineStr">
        <is>
          <t>06 Must-Visit Destinations</t>
        </is>
      </c>
      <c r="C52" s="10" t="inlineStr">
        <is>
          <t>Must-Visit — Turkiye</t>
        </is>
      </c>
      <c r="D52" s="32" t="inlineStr">
        <is>
          <t>🏬 Feature</t>
        </is>
      </c>
      <c r="E52" s="22" t="n">
        <v>1</v>
      </c>
      <c r="F52" s="23" t="inlineStr">
        <is>
          <t>77</t>
        </is>
      </c>
      <c r="G52" s="24" t="inlineStr">
        <is>
          <t>—</t>
        </is>
      </c>
      <c r="H52" s="16" t="inlineStr">
        <is>
          <t>—</t>
        </is>
      </c>
      <c r="I52" s="9" t="inlineStr">
        <is>
          <t>Editorial</t>
        </is>
      </c>
      <c r="J52" s="10" t="inlineStr">
        <is>
          <t>Full-bleed destination page — sponsorable as 'Presented by'</t>
        </is>
      </c>
      <c r="K52" s="12" t="n"/>
      <c r="L52" s="12" t="n"/>
      <c r="M52" s="12" t="n"/>
      <c r="N52" s="12" t="n"/>
      <c r="O52" s="12" t="n"/>
      <c r="P52" s="12" t="n"/>
    </row>
    <row r="53" ht="26" customHeight="1">
      <c r="A53" s="9" t="n">
        <v>49</v>
      </c>
      <c r="B53" s="10" t="inlineStr">
        <is>
          <t>06 Must-Visit Destinations</t>
        </is>
      </c>
      <c r="C53" s="10" t="inlineStr">
        <is>
          <t>Must-Visit — Jordan</t>
        </is>
      </c>
      <c r="D53" s="32" t="inlineStr">
        <is>
          <t>🏬 Feature</t>
        </is>
      </c>
      <c r="E53" s="22" t="n">
        <v>1</v>
      </c>
      <c r="F53" s="23" t="inlineStr">
        <is>
          <t>78</t>
        </is>
      </c>
      <c r="G53" s="24" t="inlineStr">
        <is>
          <t>—</t>
        </is>
      </c>
      <c r="H53" s="16" t="inlineStr">
        <is>
          <t>—</t>
        </is>
      </c>
      <c r="I53" s="9" t="inlineStr">
        <is>
          <t>Editorial</t>
        </is>
      </c>
      <c r="J53" s="10" t="inlineStr">
        <is>
          <t>Full-bleed destination page — sponsorable as 'Presented by'</t>
        </is>
      </c>
      <c r="K53" s="12" t="n"/>
      <c r="L53" s="12" t="n"/>
      <c r="M53" s="12" t="n"/>
      <c r="N53" s="12" t="n"/>
      <c r="O53" s="12" t="n"/>
      <c r="P53" s="12" t="n"/>
    </row>
    <row r="54" ht="26" customHeight="1">
      <c r="A54" s="9" t="n">
        <v>50</v>
      </c>
      <c r="B54" s="10" t="inlineStr">
        <is>
          <t>06 Must-Visit Destinations</t>
        </is>
      </c>
      <c r="C54" s="10" t="inlineStr">
        <is>
          <t>How to Read the Listings</t>
        </is>
      </c>
      <c r="D54" s="27" t="inlineStr">
        <is>
          <t>📰 Editorial</t>
        </is>
      </c>
      <c r="E54" s="22" t="n">
        <v>1</v>
      </c>
      <c r="F54" s="23" t="inlineStr">
        <is>
          <t>79</t>
        </is>
      </c>
      <c r="G54" s="24" t="inlineStr">
        <is>
          <t>—</t>
        </is>
      </c>
      <c r="H54" s="16" t="inlineStr">
        <is>
          <t>—</t>
        </is>
      </c>
      <c r="I54" s="9" t="inlineStr">
        <is>
          <t>Editorial</t>
        </is>
      </c>
      <c r="J54" s="10" t="inlineStr">
        <is>
          <t>Legend for Scale / Format / Characteristics — data notes now live with the Methodology pages</t>
        </is>
      </c>
      <c r="K54" s="12" t="n"/>
      <c r="L54" s="12" t="n"/>
      <c r="M54" s="12" t="n"/>
      <c r="N54" s="12" t="n"/>
      <c r="O54" s="12" t="n"/>
      <c r="P54" s="12" t="n"/>
    </row>
    <row r="55" ht="26" customHeight="1">
      <c r="A55" s="9" t="n">
        <v>51</v>
      </c>
      <c r="B55" s="10" t="inlineStr">
        <is>
          <t>07 Mall Listings</t>
        </is>
      </c>
      <c r="C55" s="10" t="inlineStr">
        <is>
          <t>Afghanistan</t>
        </is>
      </c>
      <c r="D55" s="33" t="inlineStr">
        <is>
          <t>📋 Listing</t>
        </is>
      </c>
      <c r="E55" s="22" t="n">
        <v>3</v>
      </c>
      <c r="F55" s="23" t="inlineStr">
        <is>
          <t>80–82</t>
        </is>
      </c>
      <c r="G55" s="24" t="inlineStr">
        <is>
          <t>—</t>
        </is>
      </c>
      <c r="H55" s="10" t="inlineStr">
        <is>
          <t>3 stand-alone · 2 mixed-use</t>
        </is>
      </c>
      <c r="I55" s="9" t="inlineStr">
        <is>
          <t>Database</t>
        </is>
      </c>
      <c r="J55" s="10" t="inlineStr">
        <is>
          <t>1 country opener + 1 listing pages (9 cards/pp) + 1 mixed-use pages (6/pp)</t>
        </is>
      </c>
      <c r="K55" s="12" t="n"/>
      <c r="L55" s="12" t="n"/>
      <c r="M55" s="12" t="n"/>
      <c r="N55" s="12" t="n"/>
      <c r="O55" s="12" t="n"/>
      <c r="P55" s="12" t="n"/>
    </row>
    <row r="56" ht="26" customHeight="1">
      <c r="A56" s="9" t="n">
        <v>52</v>
      </c>
      <c r="B56" s="10" t="inlineStr">
        <is>
          <t>07 Mall Listings</t>
        </is>
      </c>
      <c r="C56" s="10" t="inlineStr">
        <is>
          <t>Algeria</t>
        </is>
      </c>
      <c r="D56" s="33" t="inlineStr">
        <is>
          <t>📋 Listing</t>
        </is>
      </c>
      <c r="E56" s="22" t="n">
        <v>3</v>
      </c>
      <c r="F56" s="23" t="inlineStr">
        <is>
          <t>83–85</t>
        </is>
      </c>
      <c r="G56" s="24" t="inlineStr">
        <is>
          <t>—</t>
        </is>
      </c>
      <c r="H56" s="10" t="inlineStr">
        <is>
          <t>14 stand-alone · 0 mixed-use</t>
        </is>
      </c>
      <c r="I56" s="9" t="inlineStr">
        <is>
          <t>Database</t>
        </is>
      </c>
      <c r="J56" s="10" t="inlineStr">
        <is>
          <t>1 country opener + 2 listing pages (9 cards/pp) + 0 mixed-use pages (6/pp)</t>
        </is>
      </c>
      <c r="K56" s="12" t="n"/>
      <c r="L56" s="12" t="n"/>
      <c r="M56" s="12" t="n"/>
      <c r="N56" s="12" t="n"/>
      <c r="O56" s="12" t="n"/>
      <c r="P56" s="12" t="n"/>
    </row>
    <row r="57" ht="26" customHeight="1">
      <c r="A57" s="9" t="n">
        <v>53</v>
      </c>
      <c r="B57" s="10" t="inlineStr">
        <is>
          <t>07 Mall Listings</t>
        </is>
      </c>
      <c r="C57" s="10" t="inlineStr">
        <is>
          <t>Armenia</t>
        </is>
      </c>
      <c r="D57" s="33" t="inlineStr">
        <is>
          <t>📋 Listing</t>
        </is>
      </c>
      <c r="E57" s="22" t="n">
        <v>2</v>
      </c>
      <c r="F57" s="23" t="inlineStr">
        <is>
          <t>86–87</t>
        </is>
      </c>
      <c r="G57" s="24" t="inlineStr">
        <is>
          <t>—</t>
        </is>
      </c>
      <c r="H57" s="10" t="inlineStr">
        <is>
          <t>7 stand-alone · 0 mixed-use</t>
        </is>
      </c>
      <c r="I57" s="9" t="inlineStr">
        <is>
          <t>Database</t>
        </is>
      </c>
      <c r="J57" s="10" t="inlineStr">
        <is>
          <t>1 country opener + 1 listing pages (9 cards/pp) + 0 mixed-use pages (6/pp)</t>
        </is>
      </c>
      <c r="K57" s="12" t="n"/>
      <c r="L57" s="12" t="n"/>
      <c r="M57" s="12" t="n"/>
      <c r="N57" s="12" t="n"/>
      <c r="O57" s="12" t="n"/>
      <c r="P57" s="12" t="n"/>
    </row>
    <row r="58" ht="26" customHeight="1">
      <c r="A58" s="9" t="n">
        <v>54</v>
      </c>
      <c r="B58" s="10" t="inlineStr">
        <is>
          <t>07 Mall Listings</t>
        </is>
      </c>
      <c r="C58" s="10" t="inlineStr">
        <is>
          <t>Azerbaijan</t>
        </is>
      </c>
      <c r="D58" s="33" t="inlineStr">
        <is>
          <t>📋 Listing</t>
        </is>
      </c>
      <c r="E58" s="22" t="n">
        <v>4</v>
      </c>
      <c r="F58" s="23" t="inlineStr">
        <is>
          <t>88–91</t>
        </is>
      </c>
      <c r="G58" s="24" t="inlineStr">
        <is>
          <t>—</t>
        </is>
      </c>
      <c r="H58" s="10" t="inlineStr">
        <is>
          <t>13 stand-alone · 3 mixed-use</t>
        </is>
      </c>
      <c r="I58" s="9" t="inlineStr">
        <is>
          <t>Database</t>
        </is>
      </c>
      <c r="J58" s="10" t="inlineStr">
        <is>
          <t>1 country opener + 2 listing pages (9 cards/pp) + 1 mixed-use pages (6/pp)</t>
        </is>
      </c>
      <c r="K58" s="12" t="n"/>
      <c r="L58" s="12" t="n"/>
      <c r="M58" s="12" t="n"/>
      <c r="N58" s="12" t="n"/>
      <c r="O58" s="12" t="n"/>
      <c r="P58" s="12" t="n"/>
    </row>
    <row r="59" ht="26" customHeight="1">
      <c r="A59" s="9" t="n">
        <v>55</v>
      </c>
      <c r="B59" s="10" t="inlineStr">
        <is>
          <t>07 Mall Listings</t>
        </is>
      </c>
      <c r="C59" s="10" t="inlineStr">
        <is>
          <t>Bahrain</t>
        </is>
      </c>
      <c r="D59" s="33" t="inlineStr">
        <is>
          <t>📋 Listing</t>
        </is>
      </c>
      <c r="E59" s="22" t="n">
        <v>8</v>
      </c>
      <c r="F59" s="23" t="inlineStr">
        <is>
          <t>92–99</t>
        </is>
      </c>
      <c r="G59" s="24" t="inlineStr">
        <is>
          <t>—</t>
        </is>
      </c>
      <c r="H59" s="10" t="inlineStr">
        <is>
          <t>38 stand-alone · 12 mixed-use</t>
        </is>
      </c>
      <c r="I59" s="9" t="inlineStr">
        <is>
          <t>Database</t>
        </is>
      </c>
      <c r="J59" s="10" t="inlineStr">
        <is>
          <t>1 country opener + 5 listing pages (9 cards/pp) + 2 mixed-use pages (6/pp)</t>
        </is>
      </c>
      <c r="K59" s="12" t="n"/>
      <c r="L59" s="12" t="n"/>
      <c r="M59" s="12" t="n"/>
      <c r="N59" s="12" t="n"/>
      <c r="O59" s="12" t="n"/>
      <c r="P59" s="12" t="n"/>
    </row>
    <row r="60" ht="26" customHeight="1">
      <c r="A60" s="9" t="n">
        <v>56</v>
      </c>
      <c r="B60" s="10" t="inlineStr">
        <is>
          <t>07 Mall Listings</t>
        </is>
      </c>
      <c r="C60" s="10" t="inlineStr">
        <is>
          <t>Egypt</t>
        </is>
      </c>
      <c r="D60" s="33" t="inlineStr">
        <is>
          <t>📋 Listing</t>
        </is>
      </c>
      <c r="E60" s="22" t="n">
        <v>16</v>
      </c>
      <c r="F60" s="23" t="inlineStr">
        <is>
          <t>100–115</t>
        </is>
      </c>
      <c r="G60" s="24" t="inlineStr">
        <is>
          <t>—</t>
        </is>
      </c>
      <c r="H60" s="10" t="inlineStr">
        <is>
          <t>106 stand-alone · 15 mixed-use</t>
        </is>
      </c>
      <c r="I60" s="9" t="inlineStr">
        <is>
          <t>Database</t>
        </is>
      </c>
      <c r="J60" s="10" t="inlineStr">
        <is>
          <t>1 country opener + 12 listing pages (9 cards/pp) + 3 mixed-use pages (6/pp)</t>
        </is>
      </c>
      <c r="K60" s="12" t="n"/>
      <c r="L60" s="12" t="n"/>
      <c r="M60" s="12" t="n"/>
      <c r="N60" s="12" t="n"/>
      <c r="O60" s="12" t="n"/>
      <c r="P60" s="12" t="n"/>
    </row>
    <row r="61" ht="26" customHeight="1">
      <c r="A61" s="9" t="n">
        <v>57</v>
      </c>
      <c r="B61" s="10" t="inlineStr">
        <is>
          <t>07 Mall Listings</t>
        </is>
      </c>
      <c r="C61" s="10" t="inlineStr">
        <is>
          <t>Georgia</t>
        </is>
      </c>
      <c r="D61" s="33" t="inlineStr">
        <is>
          <t>📋 Listing</t>
        </is>
      </c>
      <c r="E61" s="22" t="n">
        <v>4</v>
      </c>
      <c r="F61" s="23" t="inlineStr">
        <is>
          <t>116–119</t>
        </is>
      </c>
      <c r="G61" s="24" t="inlineStr">
        <is>
          <t>—</t>
        </is>
      </c>
      <c r="H61" s="10" t="inlineStr">
        <is>
          <t>15 stand-alone · 1 mixed-use</t>
        </is>
      </c>
      <c r="I61" s="9" t="inlineStr">
        <is>
          <t>Database</t>
        </is>
      </c>
      <c r="J61" s="10" t="inlineStr">
        <is>
          <t>1 country opener + 2 listing pages (9 cards/pp) + 1 mixed-use pages (6/pp)</t>
        </is>
      </c>
      <c r="K61" s="12" t="n"/>
      <c r="L61" s="12" t="n"/>
      <c r="M61" s="12" t="n"/>
      <c r="N61" s="12" t="n"/>
      <c r="O61" s="12" t="n"/>
      <c r="P61" s="12" t="n"/>
    </row>
    <row r="62" ht="26" customHeight="1">
      <c r="A62" s="9" t="n">
        <v>58</v>
      </c>
      <c r="B62" s="10" t="inlineStr">
        <is>
          <t>07 Mall Listings</t>
        </is>
      </c>
      <c r="C62" s="10" t="inlineStr">
        <is>
          <t>Ghana</t>
        </is>
      </c>
      <c r="D62" s="33" t="inlineStr">
        <is>
          <t>📋 Listing</t>
        </is>
      </c>
      <c r="E62" s="22" t="n">
        <v>3</v>
      </c>
      <c r="F62" s="23" t="inlineStr">
        <is>
          <t>120–122</t>
        </is>
      </c>
      <c r="G62" s="24" t="inlineStr">
        <is>
          <t>—</t>
        </is>
      </c>
      <c r="H62" s="10" t="inlineStr">
        <is>
          <t>4 stand-alone · 1 mixed-use</t>
        </is>
      </c>
      <c r="I62" s="9" t="inlineStr">
        <is>
          <t>Database</t>
        </is>
      </c>
      <c r="J62" s="10" t="inlineStr">
        <is>
          <t>1 country opener + 1 listing pages (9 cards/pp) + 1 mixed-use pages (6/pp)</t>
        </is>
      </c>
      <c r="K62" s="12" t="n"/>
      <c r="L62" s="12" t="n"/>
      <c r="M62" s="12" t="n"/>
      <c r="N62" s="12" t="n"/>
      <c r="O62" s="12" t="n"/>
      <c r="P62" s="12" t="n"/>
    </row>
    <row r="63" ht="26" customHeight="1">
      <c r="A63" s="9" t="n">
        <v>59</v>
      </c>
      <c r="B63" s="10" t="inlineStr">
        <is>
          <t>07 Mall Listings</t>
        </is>
      </c>
      <c r="C63" s="10" t="inlineStr">
        <is>
          <t>Iran</t>
        </is>
      </c>
      <c r="D63" s="33" t="inlineStr">
        <is>
          <t>📋 Listing</t>
        </is>
      </c>
      <c r="E63" s="22" t="n">
        <v>10</v>
      </c>
      <c r="F63" s="23" t="inlineStr">
        <is>
          <t>123–132</t>
        </is>
      </c>
      <c r="G63" s="24" t="inlineStr">
        <is>
          <t>—</t>
        </is>
      </c>
      <c r="H63" s="10" t="inlineStr">
        <is>
          <t>57 stand-alone · 10 mixed-use</t>
        </is>
      </c>
      <c r="I63" s="9" t="inlineStr">
        <is>
          <t>Database</t>
        </is>
      </c>
      <c r="J63" s="10" t="inlineStr">
        <is>
          <t>1 country opener + 7 listing pages (9 cards/pp) + 2 mixed-use pages (6/pp)</t>
        </is>
      </c>
      <c r="K63" s="12" t="n"/>
      <c r="L63" s="12" t="n"/>
      <c r="M63" s="12" t="n"/>
      <c r="N63" s="12" t="n"/>
      <c r="O63" s="12" t="n"/>
      <c r="P63" s="12" t="n"/>
    </row>
    <row r="64" ht="26" customHeight="1">
      <c r="A64" s="9" t="n">
        <v>60</v>
      </c>
      <c r="B64" s="10" t="inlineStr">
        <is>
          <t>07 Mall Listings</t>
        </is>
      </c>
      <c r="C64" s="10" t="inlineStr">
        <is>
          <t>Iraq</t>
        </is>
      </c>
      <c r="D64" s="33" t="inlineStr">
        <is>
          <t>📋 Listing</t>
        </is>
      </c>
      <c r="E64" s="22" t="n">
        <v>5</v>
      </c>
      <c r="F64" s="23" t="inlineStr">
        <is>
          <t>133–137</t>
        </is>
      </c>
      <c r="G64" s="24" t="inlineStr">
        <is>
          <t>—</t>
        </is>
      </c>
      <c r="H64" s="10" t="inlineStr">
        <is>
          <t>19 stand-alone · 4 mixed-use</t>
        </is>
      </c>
      <c r="I64" s="9" t="inlineStr">
        <is>
          <t>Database</t>
        </is>
      </c>
      <c r="J64" s="10" t="inlineStr">
        <is>
          <t>1 country opener + 3 listing pages (9 cards/pp) + 1 mixed-use pages (6/pp)</t>
        </is>
      </c>
      <c r="K64" s="12" t="n"/>
      <c r="L64" s="12" t="n"/>
      <c r="M64" s="12" t="n"/>
      <c r="N64" s="12" t="n"/>
      <c r="O64" s="12" t="n"/>
      <c r="P64" s="12" t="n"/>
    </row>
    <row r="65" ht="26" customHeight="1">
      <c r="A65" s="9" t="n">
        <v>61</v>
      </c>
      <c r="B65" s="10" t="inlineStr">
        <is>
          <t>07 Mall Listings</t>
        </is>
      </c>
      <c r="C65" s="10" t="inlineStr">
        <is>
          <t>Jordan</t>
        </is>
      </c>
      <c r="D65" s="33" t="inlineStr">
        <is>
          <t>📋 Listing</t>
        </is>
      </c>
      <c r="E65" s="22" t="n">
        <v>5</v>
      </c>
      <c r="F65" s="23" t="inlineStr">
        <is>
          <t>138–142</t>
        </is>
      </c>
      <c r="G65" s="24" t="inlineStr">
        <is>
          <t>—</t>
        </is>
      </c>
      <c r="H65" s="10" t="inlineStr">
        <is>
          <t>21 stand-alone · 4 mixed-use</t>
        </is>
      </c>
      <c r="I65" s="9" t="inlineStr">
        <is>
          <t>Database</t>
        </is>
      </c>
      <c r="J65" s="10" t="inlineStr">
        <is>
          <t>1 country opener + 3 listing pages (9 cards/pp) + 1 mixed-use pages (6/pp)</t>
        </is>
      </c>
      <c r="K65" s="12" t="n"/>
      <c r="L65" s="12" t="n"/>
      <c r="M65" s="12" t="n"/>
      <c r="N65" s="12" t="n"/>
      <c r="O65" s="12" t="n"/>
      <c r="P65" s="12" t="n"/>
    </row>
    <row r="66" ht="26" customHeight="1">
      <c r="A66" s="9" t="n">
        <v>62</v>
      </c>
      <c r="B66" s="10" t="inlineStr">
        <is>
          <t>07 Mall Listings</t>
        </is>
      </c>
      <c r="C66" s="10" t="inlineStr">
        <is>
          <t>Kazakhstan</t>
        </is>
      </c>
      <c r="D66" s="33" t="inlineStr">
        <is>
          <t>📋 Listing</t>
        </is>
      </c>
      <c r="E66" s="22" t="n">
        <v>6</v>
      </c>
      <c r="F66" s="23" t="inlineStr">
        <is>
          <t>143–148</t>
        </is>
      </c>
      <c r="G66" s="24" t="inlineStr">
        <is>
          <t>—</t>
        </is>
      </c>
      <c r="H66" s="10" t="inlineStr">
        <is>
          <t>34 stand-alone · 1 mixed-use</t>
        </is>
      </c>
      <c r="I66" s="9" t="inlineStr">
        <is>
          <t>Database</t>
        </is>
      </c>
      <c r="J66" s="10" t="inlineStr">
        <is>
          <t>1 country opener + 4 listing pages (9 cards/pp) + 1 mixed-use pages (6/pp)</t>
        </is>
      </c>
      <c r="K66" s="12" t="n"/>
      <c r="L66" s="12" t="n"/>
      <c r="M66" s="12" t="n"/>
      <c r="N66" s="12" t="n"/>
      <c r="O66" s="12" t="n"/>
      <c r="P66" s="12" t="n"/>
    </row>
    <row r="67" ht="26" customHeight="1">
      <c r="A67" s="9" t="n">
        <v>63</v>
      </c>
      <c r="B67" s="10" t="inlineStr">
        <is>
          <t>07 Mall Listings</t>
        </is>
      </c>
      <c r="C67" s="10" t="inlineStr">
        <is>
          <t>Kenya</t>
        </is>
      </c>
      <c r="D67" s="33" t="inlineStr">
        <is>
          <t>📋 Listing</t>
        </is>
      </c>
      <c r="E67" s="22" t="n">
        <v>2</v>
      </c>
      <c r="F67" s="23" t="inlineStr">
        <is>
          <t>149–150</t>
        </is>
      </c>
      <c r="G67" s="24" t="inlineStr">
        <is>
          <t>—</t>
        </is>
      </c>
      <c r="H67" s="10" t="inlineStr">
        <is>
          <t>1 stand-alone · 0 mixed-use</t>
        </is>
      </c>
      <c r="I67" s="9" t="inlineStr">
        <is>
          <t>Database</t>
        </is>
      </c>
      <c r="J67" s="10" t="inlineStr">
        <is>
          <t>1 country opener + 1 listing pages (9 cards/pp) + 0 mixed-use pages (6/pp)</t>
        </is>
      </c>
      <c r="K67" s="12" t="n"/>
      <c r="L67" s="12" t="n"/>
      <c r="M67" s="12" t="n"/>
      <c r="N67" s="12" t="n"/>
      <c r="O67" s="12" t="n"/>
      <c r="P67" s="12" t="n"/>
    </row>
    <row r="68" ht="26" customHeight="1">
      <c r="A68" s="9" t="n">
        <v>64</v>
      </c>
      <c r="B68" s="10" t="inlineStr">
        <is>
          <t>07 Mall Listings</t>
        </is>
      </c>
      <c r="C68" s="10" t="inlineStr">
        <is>
          <t>Kuwait</t>
        </is>
      </c>
      <c r="D68" s="33" t="inlineStr">
        <is>
          <t>📋 Listing</t>
        </is>
      </c>
      <c r="E68" s="22" t="n">
        <v>12</v>
      </c>
      <c r="F68" s="23" t="inlineStr">
        <is>
          <t>151–162</t>
        </is>
      </c>
      <c r="G68" s="24" t="inlineStr">
        <is>
          <t>—</t>
        </is>
      </c>
      <c r="H68" s="10" t="inlineStr">
        <is>
          <t>64 stand-alone · 16 mixed-use</t>
        </is>
      </c>
      <c r="I68" s="9" t="inlineStr">
        <is>
          <t>Database</t>
        </is>
      </c>
      <c r="J68" s="10" t="inlineStr">
        <is>
          <t>1 country opener + 8 listing pages (9 cards/pp) + 3 mixed-use pages (6/pp)</t>
        </is>
      </c>
      <c r="K68" s="12" t="n"/>
      <c r="L68" s="12" t="n"/>
      <c r="M68" s="12" t="n"/>
      <c r="N68" s="12" t="n"/>
      <c r="O68" s="12" t="n"/>
      <c r="P68" s="12" t="n"/>
    </row>
    <row r="69" ht="26" customHeight="1">
      <c r="A69" s="9" t="n">
        <v>65</v>
      </c>
      <c r="B69" s="10" t="inlineStr">
        <is>
          <t>07 Mall Listings</t>
        </is>
      </c>
      <c r="C69" s="10" t="inlineStr">
        <is>
          <t>Kyrgyzstan</t>
        </is>
      </c>
      <c r="D69" s="33" t="inlineStr">
        <is>
          <t>📋 Listing</t>
        </is>
      </c>
      <c r="E69" s="22" t="n">
        <v>3</v>
      </c>
      <c r="F69" s="23" t="inlineStr">
        <is>
          <t>163–165</t>
        </is>
      </c>
      <c r="G69" s="24" t="inlineStr">
        <is>
          <t>—</t>
        </is>
      </c>
      <c r="H69" s="10" t="inlineStr">
        <is>
          <t>2 stand-alone · 2 mixed-use</t>
        </is>
      </c>
      <c r="I69" s="9" t="inlineStr">
        <is>
          <t>Database</t>
        </is>
      </c>
      <c r="J69" s="10" t="inlineStr">
        <is>
          <t>1 country opener + 1 listing pages (9 cards/pp) + 1 mixed-use pages (6/pp)</t>
        </is>
      </c>
      <c r="K69" s="12" t="n"/>
      <c r="L69" s="12" t="n"/>
      <c r="M69" s="12" t="n"/>
      <c r="N69" s="12" t="n"/>
      <c r="O69" s="12" t="n"/>
      <c r="P69" s="12" t="n"/>
    </row>
    <row r="70" ht="26" customHeight="1">
      <c r="A70" s="9" t="n">
        <v>66</v>
      </c>
      <c r="B70" s="10" t="inlineStr">
        <is>
          <t>07 Mall Listings</t>
        </is>
      </c>
      <c r="C70" s="10" t="inlineStr">
        <is>
          <t>Lebanon</t>
        </is>
      </c>
      <c r="D70" s="33" t="inlineStr">
        <is>
          <t>📋 Listing</t>
        </is>
      </c>
      <c r="E70" s="22" t="n">
        <v>6</v>
      </c>
      <c r="F70" s="23" t="inlineStr">
        <is>
          <t>166–171</t>
        </is>
      </c>
      <c r="G70" s="24" t="inlineStr">
        <is>
          <t>—</t>
        </is>
      </c>
      <c r="H70" s="10" t="inlineStr">
        <is>
          <t>32 stand-alone · 1 mixed-use</t>
        </is>
      </c>
      <c r="I70" s="9" t="inlineStr">
        <is>
          <t>Database</t>
        </is>
      </c>
      <c r="J70" s="10" t="inlineStr">
        <is>
          <t>1 country opener + 4 listing pages (9 cards/pp) + 1 mixed-use pages (6/pp)</t>
        </is>
      </c>
      <c r="K70" s="12" t="n"/>
      <c r="L70" s="12" t="n"/>
      <c r="M70" s="12" t="n"/>
      <c r="N70" s="12" t="n"/>
      <c r="O70" s="12" t="n"/>
      <c r="P70" s="12" t="n"/>
    </row>
    <row r="71" ht="26" customHeight="1">
      <c r="A71" s="9" t="n">
        <v>67</v>
      </c>
      <c r="B71" s="10" t="inlineStr">
        <is>
          <t>07 Mall Listings</t>
        </is>
      </c>
      <c r="C71" s="10" t="inlineStr">
        <is>
          <t>Libya</t>
        </is>
      </c>
      <c r="D71" s="33" t="inlineStr">
        <is>
          <t>📋 Listing</t>
        </is>
      </c>
      <c r="E71" s="22" t="n">
        <v>2</v>
      </c>
      <c r="F71" s="23" t="inlineStr">
        <is>
          <t>172–173</t>
        </is>
      </c>
      <c r="G71" s="24" t="inlineStr">
        <is>
          <t>—</t>
        </is>
      </c>
      <c r="H71" s="10" t="inlineStr">
        <is>
          <t>5 stand-alone · 0 mixed-use</t>
        </is>
      </c>
      <c r="I71" s="9" t="inlineStr">
        <is>
          <t>Database</t>
        </is>
      </c>
      <c r="J71" s="10" t="inlineStr">
        <is>
          <t>1 country opener + 1 listing pages (9 cards/pp) + 0 mixed-use pages (6/pp)</t>
        </is>
      </c>
      <c r="K71" s="12" t="n"/>
      <c r="L71" s="12" t="n"/>
      <c r="M71" s="12" t="n"/>
      <c r="N71" s="12" t="n"/>
      <c r="O71" s="12" t="n"/>
      <c r="P71" s="12" t="n"/>
    </row>
    <row r="72" ht="26" customHeight="1">
      <c r="A72" s="9" t="n">
        <v>68</v>
      </c>
      <c r="B72" s="10" t="inlineStr">
        <is>
          <t>07 Mall Listings</t>
        </is>
      </c>
      <c r="C72" s="10" t="inlineStr">
        <is>
          <t>Morocco</t>
        </is>
      </c>
      <c r="D72" s="33" t="inlineStr">
        <is>
          <t>📋 Listing</t>
        </is>
      </c>
      <c r="E72" s="22" t="n">
        <v>5</v>
      </c>
      <c r="F72" s="23" t="inlineStr">
        <is>
          <t>174–178</t>
        </is>
      </c>
      <c r="G72" s="24" t="inlineStr">
        <is>
          <t>—</t>
        </is>
      </c>
      <c r="H72" s="10" t="inlineStr">
        <is>
          <t>19 stand-alone · 5 mixed-use</t>
        </is>
      </c>
      <c r="I72" s="9" t="inlineStr">
        <is>
          <t>Database</t>
        </is>
      </c>
      <c r="J72" s="10" t="inlineStr">
        <is>
          <t>1 country opener + 3 listing pages (9 cards/pp) + 1 mixed-use pages (6/pp)</t>
        </is>
      </c>
      <c r="K72" s="12" t="n"/>
      <c r="L72" s="12" t="n"/>
      <c r="M72" s="12" t="n"/>
      <c r="N72" s="12" t="n"/>
      <c r="O72" s="12" t="n"/>
      <c r="P72" s="12" t="n"/>
    </row>
    <row r="73" ht="26" customHeight="1">
      <c r="A73" s="9" t="n">
        <v>69</v>
      </c>
      <c r="B73" s="10" t="inlineStr">
        <is>
          <t>07 Mall Listings</t>
        </is>
      </c>
      <c r="C73" s="10" t="inlineStr">
        <is>
          <t>Nigeria</t>
        </is>
      </c>
      <c r="D73" s="33" t="inlineStr">
        <is>
          <t>📋 Listing</t>
        </is>
      </c>
      <c r="E73" s="22" t="n">
        <v>5</v>
      </c>
      <c r="F73" s="23" t="inlineStr">
        <is>
          <t>179–183</t>
        </is>
      </c>
      <c r="G73" s="24" t="inlineStr">
        <is>
          <t>—</t>
        </is>
      </c>
      <c r="H73" s="10" t="inlineStr">
        <is>
          <t>26 stand-alone · 1 mixed-use</t>
        </is>
      </c>
      <c r="I73" s="9" t="inlineStr">
        <is>
          <t>Database</t>
        </is>
      </c>
      <c r="J73" s="10" t="inlineStr">
        <is>
          <t>1 country opener + 3 listing pages (9 cards/pp) + 1 mixed-use pages (6/pp)</t>
        </is>
      </c>
      <c r="K73" s="12" t="n"/>
      <c r="L73" s="12" t="n"/>
      <c r="M73" s="12" t="n"/>
      <c r="N73" s="12" t="n"/>
      <c r="O73" s="12" t="n"/>
      <c r="P73" s="12" t="n"/>
    </row>
    <row r="74" ht="26" customHeight="1">
      <c r="A74" s="9" t="n">
        <v>70</v>
      </c>
      <c r="B74" s="10" t="inlineStr">
        <is>
          <t>07 Mall Listings</t>
        </is>
      </c>
      <c r="C74" s="10" t="inlineStr">
        <is>
          <t>Oman</t>
        </is>
      </c>
      <c r="D74" s="33" t="inlineStr">
        <is>
          <t>📋 Listing</t>
        </is>
      </c>
      <c r="E74" s="22" t="n">
        <v>8</v>
      </c>
      <c r="F74" s="23" t="inlineStr">
        <is>
          <t>184–191</t>
        </is>
      </c>
      <c r="G74" s="24" t="inlineStr">
        <is>
          <t>—</t>
        </is>
      </c>
      <c r="H74" s="10" t="inlineStr">
        <is>
          <t>51 stand-alone · 5 mixed-use</t>
        </is>
      </c>
      <c r="I74" s="9" t="inlineStr">
        <is>
          <t>Database</t>
        </is>
      </c>
      <c r="J74" s="10" t="inlineStr">
        <is>
          <t>1 country opener + 6 listing pages (9 cards/pp) + 1 mixed-use pages (6/pp)</t>
        </is>
      </c>
      <c r="K74" s="12" t="n"/>
      <c r="L74" s="12" t="n"/>
      <c r="M74" s="12" t="n"/>
      <c r="N74" s="12" t="n"/>
      <c r="O74" s="12" t="n"/>
      <c r="P74" s="12" t="n"/>
    </row>
    <row r="75" ht="26" customHeight="1">
      <c r="A75" s="9" t="n">
        <v>71</v>
      </c>
      <c r="B75" s="10" t="inlineStr">
        <is>
          <t>07 Mall Listings</t>
        </is>
      </c>
      <c r="C75" s="10" t="inlineStr">
        <is>
          <t>Pakistan</t>
        </is>
      </c>
      <c r="D75" s="33" t="inlineStr">
        <is>
          <t>📋 Listing</t>
        </is>
      </c>
      <c r="E75" s="22" t="n">
        <v>8</v>
      </c>
      <c r="F75" s="23" t="inlineStr">
        <is>
          <t>192–199</t>
        </is>
      </c>
      <c r="G75" s="24" t="inlineStr">
        <is>
          <t>—</t>
        </is>
      </c>
      <c r="H75" s="10" t="inlineStr">
        <is>
          <t>42 stand-alone · 8 mixed-use</t>
        </is>
      </c>
      <c r="I75" s="9" t="inlineStr">
        <is>
          <t>Database</t>
        </is>
      </c>
      <c r="J75" s="10" t="inlineStr">
        <is>
          <t>1 country opener + 5 listing pages (9 cards/pp) + 2 mixed-use pages (6/pp)</t>
        </is>
      </c>
      <c r="K75" s="12" t="n"/>
      <c r="L75" s="12" t="n"/>
      <c r="M75" s="12" t="n"/>
      <c r="N75" s="12" t="n"/>
      <c r="O75" s="12" t="n"/>
      <c r="P75" s="12" t="n"/>
    </row>
    <row r="76" ht="26" customHeight="1">
      <c r="A76" s="9" t="n">
        <v>72</v>
      </c>
      <c r="B76" s="10" t="inlineStr">
        <is>
          <t>07 Mall Listings</t>
        </is>
      </c>
      <c r="C76" s="10" t="inlineStr">
        <is>
          <t>Qatar</t>
        </is>
      </c>
      <c r="D76" s="33" t="inlineStr">
        <is>
          <t>📋 Listing</t>
        </is>
      </c>
      <c r="E76" s="22" t="n">
        <v>6</v>
      </c>
      <c r="F76" s="23" t="inlineStr">
        <is>
          <t>200–205</t>
        </is>
      </c>
      <c r="G76" s="24" t="inlineStr">
        <is>
          <t>—</t>
        </is>
      </c>
      <c r="H76" s="10" t="inlineStr">
        <is>
          <t>29 stand-alone · 4 mixed-use</t>
        </is>
      </c>
      <c r="I76" s="9" t="inlineStr">
        <is>
          <t>Database</t>
        </is>
      </c>
      <c r="J76" s="10" t="inlineStr">
        <is>
          <t>1 country opener + 4 listing pages (9 cards/pp) + 1 mixed-use pages (6/pp)</t>
        </is>
      </c>
      <c r="K76" s="12" t="n"/>
      <c r="L76" s="12" t="n"/>
      <c r="M76" s="12" t="n"/>
      <c r="N76" s="12" t="n"/>
      <c r="O76" s="12" t="n"/>
      <c r="P76" s="12" t="n"/>
    </row>
    <row r="77" ht="26" customHeight="1">
      <c r="A77" s="9" t="n">
        <v>73</v>
      </c>
      <c r="B77" s="10" t="inlineStr">
        <is>
          <t>07 Mall Listings</t>
        </is>
      </c>
      <c r="C77" s="10" t="inlineStr">
        <is>
          <t>Saudi Arabia</t>
        </is>
      </c>
      <c r="D77" s="33" t="inlineStr">
        <is>
          <t>📋 Listing</t>
        </is>
      </c>
      <c r="E77" s="22" t="n">
        <v>32</v>
      </c>
      <c r="F77" s="23" t="inlineStr">
        <is>
          <t>206–237</t>
        </is>
      </c>
      <c r="G77" s="22" t="inlineStr">
        <is>
          <t>285–288</t>
        </is>
      </c>
      <c r="H77" s="10" t="inlineStr">
        <is>
          <t>219 stand-alone · 35 mixed-use</t>
        </is>
      </c>
      <c r="I77" s="9" t="inlineStr">
        <is>
          <t>Database</t>
        </is>
      </c>
      <c r="J77" s="10" t="inlineStr">
        <is>
          <t>1 country opener + 25 listing pages (9 cards/pp) + 6 mixed-use pages (6/pp)</t>
        </is>
      </c>
      <c r="K77" s="12" t="n"/>
      <c r="L77" s="12" t="n"/>
      <c r="M77" s="12" t="n"/>
      <c r="N77" s="12" t="n"/>
      <c r="O77" s="12" t="n"/>
      <c r="P77" s="12" t="n"/>
    </row>
    <row r="78" ht="26" customHeight="1">
      <c r="A78" s="9" t="n">
        <v>74</v>
      </c>
      <c r="B78" s="10" t="inlineStr">
        <is>
          <t>07 Mall Listings</t>
        </is>
      </c>
      <c r="C78" s="10" t="inlineStr">
        <is>
          <t>Sudan</t>
        </is>
      </c>
      <c r="D78" s="33" t="inlineStr">
        <is>
          <t>📋 Listing</t>
        </is>
      </c>
      <c r="E78" s="22" t="n">
        <v>3</v>
      </c>
      <c r="F78" s="23" t="inlineStr">
        <is>
          <t>238–240</t>
        </is>
      </c>
      <c r="G78" s="24" t="inlineStr">
        <is>
          <t>—</t>
        </is>
      </c>
      <c r="H78" s="10" t="inlineStr">
        <is>
          <t>1 stand-alone · 1 mixed-use</t>
        </is>
      </c>
      <c r="I78" s="9" t="inlineStr">
        <is>
          <t>Database</t>
        </is>
      </c>
      <c r="J78" s="10" t="inlineStr">
        <is>
          <t>1 country opener + 1 listing pages (9 cards/pp) + 1 mixed-use pages (6/pp)</t>
        </is>
      </c>
      <c r="K78" s="12" t="n"/>
      <c r="L78" s="12" t="n"/>
      <c r="M78" s="12" t="n"/>
      <c r="N78" s="12" t="n"/>
      <c r="O78" s="12" t="n"/>
      <c r="P78" s="12" t="n"/>
    </row>
    <row r="79" ht="26" customHeight="1">
      <c r="A79" s="9" t="n">
        <v>75</v>
      </c>
      <c r="B79" s="10" t="inlineStr">
        <is>
          <t>07 Mall Listings</t>
        </is>
      </c>
      <c r="C79" s="10" t="inlineStr">
        <is>
          <t>Syria</t>
        </is>
      </c>
      <c r="D79" s="33" t="inlineStr">
        <is>
          <t>📋 Listing</t>
        </is>
      </c>
      <c r="E79" s="22" t="n">
        <v>2</v>
      </c>
      <c r="F79" s="23" t="inlineStr">
        <is>
          <t>241–242</t>
        </is>
      </c>
      <c r="G79" s="24" t="inlineStr">
        <is>
          <t>—</t>
        </is>
      </c>
      <c r="H79" s="10" t="inlineStr">
        <is>
          <t>2 stand-alone · 0 mixed-use</t>
        </is>
      </c>
      <c r="I79" s="9" t="inlineStr">
        <is>
          <t>Database</t>
        </is>
      </c>
      <c r="J79" s="10" t="inlineStr">
        <is>
          <t>1 country opener + 1 listing pages (9 cards/pp) + 0 mixed-use pages (6/pp)</t>
        </is>
      </c>
      <c r="K79" s="12" t="n"/>
      <c r="L79" s="12" t="n"/>
      <c r="M79" s="12" t="n"/>
      <c r="N79" s="12" t="n"/>
      <c r="O79" s="12" t="n"/>
      <c r="P79" s="12" t="n"/>
    </row>
    <row r="80" ht="26" customHeight="1">
      <c r="A80" s="9" t="n">
        <v>76</v>
      </c>
      <c r="B80" s="10" t="inlineStr">
        <is>
          <t>07 Mall Listings</t>
        </is>
      </c>
      <c r="C80" s="10" t="inlineStr">
        <is>
          <t>Tunisia</t>
        </is>
      </c>
      <c r="D80" s="33" t="inlineStr">
        <is>
          <t>📋 Listing</t>
        </is>
      </c>
      <c r="E80" s="22" t="n">
        <v>2</v>
      </c>
      <c r="F80" s="23" t="inlineStr">
        <is>
          <t>243–244</t>
        </is>
      </c>
      <c r="G80" s="24" t="inlineStr">
        <is>
          <t>—</t>
        </is>
      </c>
      <c r="H80" s="10" t="inlineStr">
        <is>
          <t>6 stand-alone · 0 mixed-use</t>
        </is>
      </c>
      <c r="I80" s="9" t="inlineStr">
        <is>
          <t>Database</t>
        </is>
      </c>
      <c r="J80" s="10" t="inlineStr">
        <is>
          <t>1 country opener + 1 listing pages (9 cards/pp) + 0 mixed-use pages (6/pp)</t>
        </is>
      </c>
      <c r="K80" s="12" t="n"/>
      <c r="L80" s="12" t="n"/>
      <c r="M80" s="12" t="n"/>
      <c r="N80" s="12" t="n"/>
      <c r="O80" s="12" t="n"/>
      <c r="P80" s="12" t="n"/>
    </row>
    <row r="81" ht="26" customHeight="1">
      <c r="A81" s="9" t="n">
        <v>77</v>
      </c>
      <c r="B81" s="10" t="inlineStr">
        <is>
          <t>07 Mall Listings</t>
        </is>
      </c>
      <c r="C81" s="10" t="inlineStr">
        <is>
          <t>Turkiye</t>
        </is>
      </c>
      <c r="D81" s="33" t="inlineStr">
        <is>
          <t>📋 Listing</t>
        </is>
      </c>
      <c r="E81" s="22" t="n">
        <v>16</v>
      </c>
      <c r="F81" s="23" t="inlineStr">
        <is>
          <t>245–260</t>
        </is>
      </c>
      <c r="G81" s="24" t="inlineStr">
        <is>
          <t>—</t>
        </is>
      </c>
      <c r="H81" s="10" t="inlineStr">
        <is>
          <t>124 stand-alone · 3 mixed-use</t>
        </is>
      </c>
      <c r="I81" s="9" t="inlineStr">
        <is>
          <t>Database</t>
        </is>
      </c>
      <c r="J81" s="10" t="inlineStr">
        <is>
          <t>1 country opener + 14 listing pages (9 cards/pp) + 1 mixed-use pages (6/pp)</t>
        </is>
      </c>
      <c r="K81" s="12" t="n"/>
      <c r="L81" s="12" t="n"/>
      <c r="M81" s="12" t="n"/>
      <c r="N81" s="12" t="n"/>
      <c r="O81" s="12" t="n"/>
      <c r="P81" s="12" t="n"/>
    </row>
    <row r="82" ht="26" customHeight="1">
      <c r="A82" s="9" t="n">
        <v>78</v>
      </c>
      <c r="B82" s="10" t="inlineStr">
        <is>
          <t>07 Mall Listings</t>
        </is>
      </c>
      <c r="C82" s="10" t="inlineStr">
        <is>
          <t>UAE</t>
        </is>
      </c>
      <c r="D82" s="33" t="inlineStr">
        <is>
          <t>📋 Listing</t>
        </is>
      </c>
      <c r="E82" s="22" t="n">
        <v>35</v>
      </c>
      <c r="F82" s="23" t="inlineStr">
        <is>
          <t>261–295</t>
        </is>
      </c>
      <c r="G82" s="22" t="inlineStr">
        <is>
          <t>289–292</t>
        </is>
      </c>
      <c r="H82" s="10" t="inlineStr">
        <is>
          <t>237 stand-alone · 37 mixed-use</t>
        </is>
      </c>
      <c r="I82" s="9" t="inlineStr">
        <is>
          <t>Database</t>
        </is>
      </c>
      <c r="J82" s="10" t="inlineStr">
        <is>
          <t>1 country opener + 27 listing pages (9 cards/pp) + 7 mixed-use pages (6/pp)</t>
        </is>
      </c>
      <c r="K82" s="12" t="n"/>
      <c r="L82" s="12" t="n"/>
      <c r="M82" s="12" t="n"/>
      <c r="N82" s="12" t="n"/>
      <c r="O82" s="12" t="n"/>
      <c r="P82" s="12" t="n"/>
    </row>
    <row r="83" ht="26" customHeight="1">
      <c r="A83" s="9" t="n">
        <v>79</v>
      </c>
      <c r="B83" s="10" t="inlineStr">
        <is>
          <t>07 Mall Listings</t>
        </is>
      </c>
      <c r="C83" s="10" t="inlineStr">
        <is>
          <t>Uzbekistan</t>
        </is>
      </c>
      <c r="D83" s="33" t="inlineStr">
        <is>
          <t>📋 Listing</t>
        </is>
      </c>
      <c r="E83" s="22" t="n">
        <v>3</v>
      </c>
      <c r="F83" s="23" t="inlineStr">
        <is>
          <t>296–298</t>
        </is>
      </c>
      <c r="G83" s="24" t="inlineStr">
        <is>
          <t>—</t>
        </is>
      </c>
      <c r="H83" s="10" t="inlineStr">
        <is>
          <t>10 stand-alone · 0 mixed-use</t>
        </is>
      </c>
      <c r="I83" s="9" t="inlineStr">
        <is>
          <t>Database</t>
        </is>
      </c>
      <c r="J83" s="10" t="inlineStr">
        <is>
          <t>1 country opener + 2 listing pages (9 cards/pp) + 0 mixed-use pages (6/pp)</t>
        </is>
      </c>
      <c r="K83" s="12" t="n"/>
      <c r="L83" s="12" t="n"/>
      <c r="M83" s="12" t="n"/>
      <c r="N83" s="12" t="n"/>
      <c r="O83" s="12" t="n"/>
      <c r="P83" s="12" t="n"/>
    </row>
    <row r="84" ht="26" customHeight="1">
      <c r="A84" s="9" t="n">
        <v>80</v>
      </c>
      <c r="B84" s="10" t="inlineStr">
        <is>
          <t>07 Mall Listings</t>
        </is>
      </c>
      <c r="C84" s="10" t="inlineStr">
        <is>
          <t>Yemen</t>
        </is>
      </c>
      <c r="D84" s="33" t="inlineStr">
        <is>
          <t>📋 Listing</t>
        </is>
      </c>
      <c r="E84" s="22" t="n">
        <v>2</v>
      </c>
      <c r="F84" s="23" t="inlineStr">
        <is>
          <t>299–300</t>
        </is>
      </c>
      <c r="G84" s="24" t="inlineStr">
        <is>
          <t>—</t>
        </is>
      </c>
      <c r="H84" s="10" t="inlineStr">
        <is>
          <t>4 stand-alone · 0 mixed-use</t>
        </is>
      </c>
      <c r="I84" s="9" t="inlineStr">
        <is>
          <t>Database</t>
        </is>
      </c>
      <c r="J84" s="10" t="inlineStr">
        <is>
          <t>1 country opener + 1 listing pages (9 cards/pp) + 0 mixed-use pages (6/pp)</t>
        </is>
      </c>
      <c r="K84" s="12" t="n"/>
      <c r="L84" s="12" t="n"/>
      <c r="M84" s="12" t="n"/>
      <c r="N84" s="12" t="n"/>
      <c r="O84" s="12" t="n"/>
      <c r="P84" s="12" t="n"/>
    </row>
    <row r="85" ht="26" customHeight="1">
      <c r="A85" s="9" t="n">
        <v>81</v>
      </c>
      <c r="B85" s="10" t="inlineStr">
        <is>
          <t>07 Mall Listings</t>
        </is>
      </c>
      <c r="C85" s="10" t="inlineStr">
        <is>
          <t>Zambia</t>
        </is>
      </c>
      <c r="D85" s="33" t="inlineStr">
        <is>
          <t>📋 Listing</t>
        </is>
      </c>
      <c r="E85" s="22" t="n">
        <v>2</v>
      </c>
      <c r="F85" s="23" t="inlineStr">
        <is>
          <t>301–302</t>
        </is>
      </c>
      <c r="G85" s="24" t="inlineStr">
        <is>
          <t>—</t>
        </is>
      </c>
      <c r="H85" s="10" t="inlineStr">
        <is>
          <t>1 stand-alone · 0 mixed-use</t>
        </is>
      </c>
      <c r="I85" s="9" t="inlineStr">
        <is>
          <t>Database</t>
        </is>
      </c>
      <c r="J85" s="10" t="inlineStr">
        <is>
          <t>1 country opener + 1 listing pages (9 cards/pp) + 0 mixed-use pages (6/pp)</t>
        </is>
      </c>
      <c r="K85" s="12" t="n"/>
      <c r="L85" s="12" t="n"/>
      <c r="M85" s="12" t="n"/>
      <c r="N85" s="12" t="n"/>
      <c r="O85" s="12" t="n"/>
      <c r="P85" s="12" t="n"/>
    </row>
    <row r="86" ht="26" customHeight="1">
      <c r="A86" s="9" t="n">
        <v>82</v>
      </c>
      <c r="B86" s="10" t="inlineStr">
        <is>
          <t>08 Retail Brands</t>
        </is>
      </c>
      <c r="C86" s="10" t="inlineStr">
        <is>
          <t>Retail brands by category</t>
        </is>
      </c>
      <c r="D86" s="33" t="inlineStr">
        <is>
          <t>📋 Listing</t>
        </is>
      </c>
      <c r="E86" s="22" t="n">
        <v>27</v>
      </c>
      <c r="F86" s="23" t="inlineStr">
        <is>
          <t>303–329</t>
        </is>
      </c>
      <c r="G86" s="24" t="inlineStr">
        <is>
          <t>—</t>
        </is>
      </c>
      <c r="H86" s="10" t="inlineStr">
        <is>
          <t>13 categories</t>
        </is>
      </c>
      <c r="I86" s="9" t="inlineStr">
        <is>
          <t>Database</t>
        </is>
      </c>
      <c r="J86" s="10" t="inlineStr">
        <is>
          <t>p303 section divider (recto) + 26 listing pages — generated from Mall_Tenants</t>
        </is>
      </c>
      <c r="K86" s="12" t="n"/>
      <c r="L86" s="12" t="n"/>
      <c r="M86" s="12" t="n"/>
      <c r="N86" s="12" t="n"/>
      <c r="O86" s="12" t="n"/>
      <c r="P86" s="12" t="n"/>
    </row>
    <row r="87" ht="26" customHeight="1">
      <c r="A87" s="9" t="n">
        <v>83</v>
      </c>
      <c r="B87" s="10" t="inlineStr">
        <is>
          <t>09 Service Providers</t>
        </is>
      </c>
      <c r="C87" s="10" t="inlineStr">
        <is>
          <t>Service providers by category</t>
        </is>
      </c>
      <c r="D87" s="33" t="inlineStr">
        <is>
          <t>📋 Listing</t>
        </is>
      </c>
      <c r="E87" s="22" t="n">
        <v>20</v>
      </c>
      <c r="F87" s="23" t="inlineStr">
        <is>
          <t>330–349</t>
        </is>
      </c>
      <c r="G87" s="24" t="inlineStr">
        <is>
          <t>—</t>
        </is>
      </c>
      <c r="H87" s="10" t="inlineStr">
        <is>
          <t>860 providers · 19 categories</t>
        </is>
      </c>
      <c r="I87" s="9" t="inlineStr">
        <is>
          <t>Database</t>
        </is>
      </c>
      <c r="J87" s="10" t="inlineStr">
        <is>
          <t>p330 section divider + 19 listing pages — needs the outreach campaign</t>
        </is>
      </c>
      <c r="K87" s="12" t="n"/>
      <c r="L87" s="12" t="n"/>
      <c r="M87" s="12" t="n"/>
      <c r="N87" s="12" t="n"/>
      <c r="O87" s="12" t="n"/>
      <c r="P87" s="12" t="n"/>
    </row>
    <row r="88" ht="26" customHeight="1">
      <c r="A88" s="9" t="n">
        <v>84</v>
      </c>
      <c r="B88" s="10" t="inlineStr">
        <is>
          <t>10 Members &amp; Reference</t>
        </is>
      </c>
      <c r="C88" s="10" t="inlineStr">
        <is>
          <t>MECSR Member Listings</t>
        </is>
      </c>
      <c r="D88" s="33" t="inlineStr">
        <is>
          <t>📋 Listing</t>
        </is>
      </c>
      <c r="E88" s="22" t="n">
        <v>16</v>
      </c>
      <c r="F88" s="23" t="inlineStr">
        <is>
          <t>350–365</t>
        </is>
      </c>
      <c r="G88" s="22" t="inlineStr">
        <is>
          <t>280</t>
        </is>
      </c>
      <c r="H88" s="10" t="inlineStr">
        <is>
          <t>436 active members</t>
        </is>
      </c>
      <c r="I88" s="9" t="inlineStr">
        <is>
          <t>Database</t>
        </is>
      </c>
      <c r="J88" s="10" t="inlineStr">
        <is>
          <t>Driven by the active member list and the Brilliant Directories export</t>
        </is>
      </c>
      <c r="K88" s="12" t="n"/>
      <c r="L88" s="12" t="n"/>
      <c r="M88" s="12" t="n"/>
      <c r="N88" s="12" t="n"/>
      <c r="O88" s="12" t="n"/>
      <c r="P88" s="12" t="n"/>
    </row>
    <row r="89" ht="26" customHeight="1">
      <c r="A89" s="9" t="n">
        <v>85</v>
      </c>
      <c r="B89" s="10" t="inlineStr">
        <is>
          <t>10 Members &amp; Reference</t>
        </is>
      </c>
      <c r="C89" s="10" t="inlineStr">
        <is>
          <t>A-Z Index of Properties</t>
        </is>
      </c>
      <c r="D89" s="33" t="inlineStr">
        <is>
          <t>🔠 Index</t>
        </is>
      </c>
      <c r="E89" s="22" t="n">
        <v>12</v>
      </c>
      <c r="F89" s="23" t="inlineStr">
        <is>
          <t>366–377</t>
        </is>
      </c>
      <c r="G89" s="24" t="inlineStr">
        <is>
          <t>—</t>
        </is>
      </c>
      <c r="H89" s="10" t="inlineStr">
        <is>
          <t>1377 properties</t>
        </is>
      </c>
      <c r="I89" s="9" t="inlineStr">
        <is>
          <t>Database</t>
        </is>
      </c>
      <c r="J89" s="10" t="inlineStr">
        <is>
          <t>Auto-generated from the master dataset</t>
        </is>
      </c>
      <c r="K89" s="12" t="n"/>
      <c r="L89" s="12" t="n"/>
      <c r="M89" s="12" t="n"/>
      <c r="N89" s="12" t="n"/>
      <c r="O89" s="12" t="n"/>
      <c r="P89" s="12" t="n"/>
    </row>
    <row r="90" ht="26" customHeight="1">
      <c r="A90" s="9" t="n">
        <v>86</v>
      </c>
      <c r="B90" s="10" t="inlineStr">
        <is>
          <t>10 Members &amp; Reference</t>
        </is>
      </c>
      <c r="C90" s="10" t="inlineStr">
        <is>
          <t>Methodology &amp; Confidence Labels</t>
        </is>
      </c>
      <c r="D90" s="27" t="inlineStr">
        <is>
          <t>📰 Editorial</t>
        </is>
      </c>
      <c r="E90" s="22" t="n">
        <v>2</v>
      </c>
      <c r="F90" s="23" t="inlineStr">
        <is>
          <t>378–379</t>
        </is>
      </c>
      <c r="G90" s="24" t="inlineStr">
        <is>
          <t>—</t>
        </is>
      </c>
      <c r="H90" s="16" t="inlineStr">
        <is>
          <t>—</t>
        </is>
      </c>
      <c r="I90" s="9" t="inlineStr">
        <is>
          <t>Editorial</t>
        </is>
      </c>
      <c r="J90" s="10" t="inlineStr">
        <is>
          <t>Source policy and three-pass verification</t>
        </is>
      </c>
      <c r="K90" s="12" t="n"/>
      <c r="L90" s="12" t="n"/>
      <c r="M90" s="12" t="n"/>
      <c r="N90" s="12" t="n"/>
      <c r="O90" s="12" t="n"/>
      <c r="P90" s="12" t="n"/>
    </row>
    <row r="91" ht="26" customHeight="1">
      <c r="A91" s="9" t="n">
        <v>87</v>
      </c>
      <c r="B91" s="10" t="inlineStr">
        <is>
          <t>10 Members &amp; Reference</t>
        </is>
      </c>
      <c r="C91" s="10" t="inlineStr">
        <is>
          <t>Media Kit — Advertise with MECSR</t>
        </is>
      </c>
      <c r="D91" s="27" t="inlineStr">
        <is>
          <t>📰 Editorial</t>
        </is>
      </c>
      <c r="E91" s="22" t="n">
        <v>1</v>
      </c>
      <c r="F91" s="23" t="inlineStr">
        <is>
          <t>380</t>
        </is>
      </c>
      <c r="G91" s="24" t="inlineStr">
        <is>
          <t>—</t>
        </is>
      </c>
      <c r="H91" s="16" t="inlineStr">
        <is>
          <t>—</t>
        </is>
      </c>
      <c r="I91" s="9" t="inlineStr">
        <is>
          <t>Editorial</t>
        </is>
      </c>
      <c r="J91" s="16" t="inlineStr">
        <is>
          <t>—</t>
        </is>
      </c>
      <c r="K91" s="12" t="n"/>
      <c r="L91" s="12" t="n"/>
      <c r="M91" s="12" t="n"/>
      <c r="N91" s="12" t="n"/>
      <c r="O91" s="12" t="n"/>
      <c r="P91" s="12" t="n"/>
    </row>
    <row r="92" ht="26" customHeight="1">
      <c r="A92" s="9" t="n">
        <v>88</v>
      </c>
      <c r="B92" s="10" t="inlineStr">
        <is>
          <t>10 Members &amp; Reference</t>
        </is>
      </c>
      <c r="C92" s="10" t="inlineStr">
        <is>
          <t>The Digital Directory</t>
        </is>
      </c>
      <c r="D92" s="27" t="inlineStr">
        <is>
          <t>📰 Editorial</t>
        </is>
      </c>
      <c r="E92" s="22" t="n">
        <v>1</v>
      </c>
      <c r="F92" s="23" t="inlineStr">
        <is>
          <t>381</t>
        </is>
      </c>
      <c r="G92" s="24" t="inlineStr">
        <is>
          <t>—</t>
        </is>
      </c>
      <c r="H92" s="16" t="inlineStr">
        <is>
          <t>—</t>
        </is>
      </c>
      <c r="I92" s="9" t="inlineStr">
        <is>
          <t>Editorial</t>
        </is>
      </c>
      <c r="J92" s="10" t="inlineStr">
        <is>
          <t>QR to live records — 1,076 codes resolve against the site's real slugs</t>
        </is>
      </c>
      <c r="K92" s="12" t="n"/>
      <c r="L92" s="12" t="n"/>
      <c r="M92" s="12" t="n"/>
      <c r="N92" s="12" t="n"/>
      <c r="O92" s="12" t="n"/>
      <c r="P92" s="12" t="n"/>
    </row>
    <row r="93" ht="26" customHeight="1">
      <c r="A93" s="9" t="n">
        <v>89</v>
      </c>
      <c r="B93" s="10" t="inlineStr">
        <is>
          <t>10 Members &amp; Reference</t>
        </is>
      </c>
      <c r="C93" s="10" t="inlineStr">
        <is>
          <t>Acknowledgements &amp; Credits</t>
        </is>
      </c>
      <c r="D93" s="27" t="inlineStr">
        <is>
          <t>📰 Editorial</t>
        </is>
      </c>
      <c r="E93" s="22" t="n">
        <v>1</v>
      </c>
      <c r="F93" s="23" t="inlineStr">
        <is>
          <t>382</t>
        </is>
      </c>
      <c r="G93" s="24" t="inlineStr">
        <is>
          <t>—</t>
        </is>
      </c>
      <c r="H93" s="16" t="inlineStr">
        <is>
          <t>—</t>
        </is>
      </c>
      <c r="I93" s="9" t="inlineStr">
        <is>
          <t>Editorial</t>
        </is>
      </c>
      <c r="J93" s="16" t="inlineStr">
        <is>
          <t>—</t>
        </is>
      </c>
      <c r="K93" s="12" t="n"/>
      <c r="L93" s="12" t="n"/>
      <c r="M93" s="12" t="n"/>
      <c r="N93" s="12" t="n"/>
      <c r="O93" s="12" t="n"/>
      <c r="P93" s="12" t="n"/>
    </row>
    <row r="94" ht="26" customHeight="1">
      <c r="A94" s="9" t="n">
        <v>90</v>
      </c>
      <c r="B94" s="10" t="inlineStr">
        <is>
          <t>11 Covers</t>
        </is>
      </c>
      <c r="C94" s="10" t="inlineStr">
        <is>
          <t>Inside Back Cover (IBC) AD</t>
        </is>
      </c>
      <c r="D94" s="25" t="inlineStr">
        <is>
          <t>📢 Ad</t>
        </is>
      </c>
      <c r="E94" s="22" t="n">
        <v>1</v>
      </c>
      <c r="F94" s="23" t="inlineStr">
        <is>
          <t>383</t>
        </is>
      </c>
      <c r="G94" s="22" t="inlineStr">
        <is>
          <t>309–310, 320</t>
        </is>
      </c>
      <c r="H94" s="16" t="inlineStr">
        <is>
          <t>—</t>
        </is>
      </c>
      <c r="I94" s="9" t="inlineStr">
        <is>
          <t>Sales / Client</t>
        </is>
      </c>
      <c r="J94" s="10" t="inlineStr">
        <is>
          <t>2026: UNIFIED — premium position</t>
        </is>
      </c>
      <c r="K94" s="12" t="n"/>
      <c r="L94" s="12" t="n"/>
      <c r="M94" s="12" t="n"/>
      <c r="N94" s="12" t="n"/>
      <c r="O94" s="12" t="n"/>
      <c r="P94" s="12" t="n"/>
    </row>
    <row r="95" ht="26" customHeight="1">
      <c r="A95" s="9" t="n">
        <v>91</v>
      </c>
      <c r="B95" s="10" t="inlineStr">
        <is>
          <t>11 Covers</t>
        </is>
      </c>
      <c r="C95" s="10" t="inlineStr">
        <is>
          <t>Back Cover</t>
        </is>
      </c>
      <c r="D95" s="21" t="inlineStr">
        <is>
          <t>📕 Cover</t>
        </is>
      </c>
      <c r="E95" s="22" t="n">
        <v>1</v>
      </c>
      <c r="F95" s="23" t="inlineStr">
        <is>
          <t>384</t>
        </is>
      </c>
      <c r="G95" s="22" t="inlineStr">
        <is>
          <t>7–8, 311–312, 321–322</t>
        </is>
      </c>
      <c r="H95" s="16" t="inlineStr">
        <is>
          <t>—</t>
        </is>
      </c>
      <c r="I95" s="9" t="inlineStr">
        <is>
          <t>Design</t>
        </is>
      </c>
      <c r="J95" s="10" t="inlineStr">
        <is>
          <t>2026: KADEN — highest ad tier</t>
        </is>
      </c>
      <c r="K95" s="12" t="n"/>
      <c r="L95" s="12" t="n"/>
      <c r="M95" s="12" t="n"/>
      <c r="N95" s="12" t="n"/>
      <c r="O95" s="12" t="n"/>
      <c r="P95" s="12" t="n"/>
    </row>
    <row r="96">
      <c r="D96" s="19" t="inlineStr">
        <is>
          <t>TOTAL PAGES</t>
        </is>
      </c>
      <c r="E96" s="20">
        <f>SUM(E5:E95)</f>
        <v/>
      </c>
      <c r="F96" s="2" t="inlineStr">
        <is>
          <t>of 384</t>
        </is>
      </c>
    </row>
    <row r="97" ht="26" customHeight="1">
      <c r="B97" s="18" t="inlineStr">
        <is>
          <t>Page positions are locked to the 384-page plan (24 printer signatures of 16) — changing PP on one row means taking a page from another. Structural rows (listings, index, methodology) are generated from the master dataset and do not need chasing; commercial and editorial rows do.</t>
        </is>
      </c>
    </row>
    <row r="98">
      <c r="B98" s="34" t="inlineStr">
        <is>
          <t>PAGES BY TYPE</t>
        </is>
      </c>
    </row>
    <row r="99">
      <c r="B99" s="35" t="inlineStr">
        <is>
          <t>TYPE</t>
        </is>
      </c>
      <c r="C99" s="35" t="inlineStr">
        <is>
          <t>ITEMS</t>
        </is>
      </c>
      <c r="D99" s="35" t="inlineStr">
        <is>
          <t>PAGES</t>
        </is>
      </c>
      <c r="E99" s="35" t="inlineStr">
        <is>
          <t>SHARE</t>
        </is>
      </c>
    </row>
    <row r="100">
      <c r="B100" s="36" t="inlineStr">
        <is>
          <t>📕 Cover</t>
        </is>
      </c>
      <c r="C100" s="37" t="n">
        <v>2</v>
      </c>
      <c r="D100" s="37" t="n">
        <v>2</v>
      </c>
      <c r="E100" s="38" t="n">
        <v>0.005208333333333333</v>
      </c>
    </row>
    <row r="101">
      <c r="B101" s="39" t="inlineStr">
        <is>
          <t>📢 Ad</t>
        </is>
      </c>
      <c r="C101" s="37" t="n">
        <v>6</v>
      </c>
      <c r="D101" s="37" t="n">
        <v>6</v>
      </c>
      <c r="E101" s="38" t="n">
        <v>0.015625</v>
      </c>
    </row>
    <row r="102">
      <c r="B102" s="40" t="inlineStr">
        <is>
          <t>⭐ Showcase</t>
        </is>
      </c>
      <c r="C102" s="37" t="n">
        <v>8</v>
      </c>
      <c r="D102" s="37" t="n">
        <v>16</v>
      </c>
      <c r="E102" s="38" t="n">
        <v>0.04166666666666666</v>
      </c>
    </row>
    <row r="103">
      <c r="B103" s="41" t="inlineStr">
        <is>
          <t>✍️ Article</t>
        </is>
      </c>
      <c r="C103" s="37" t="n">
        <v>9</v>
      </c>
      <c r="D103" s="37" t="n">
        <v>18</v>
      </c>
      <c r="E103" s="38" t="n">
        <v>0.046875</v>
      </c>
    </row>
    <row r="104">
      <c r="B104" s="42" t="inlineStr">
        <is>
          <t>🌍 Country Profile</t>
        </is>
      </c>
      <c r="C104" s="37" t="n">
        <v>4</v>
      </c>
      <c r="D104" s="37" t="n">
        <v>8</v>
      </c>
      <c r="E104" s="38" t="n">
        <v>0.02083333333333333</v>
      </c>
    </row>
    <row r="105">
      <c r="B105" s="43" t="inlineStr">
        <is>
          <t>🏬 Feature</t>
        </is>
      </c>
      <c r="C105" s="37" t="n">
        <v>8</v>
      </c>
      <c r="D105" s="37" t="n">
        <v>8</v>
      </c>
      <c r="E105" s="38" t="n">
        <v>0.02083333333333333</v>
      </c>
    </row>
    <row r="106">
      <c r="B106" s="44" t="inlineStr">
        <is>
          <t>💬 Message</t>
        </is>
      </c>
      <c r="C106" s="37" t="n">
        <v>3</v>
      </c>
      <c r="D106" s="37" t="n">
        <v>3</v>
      </c>
      <c r="E106" s="38" t="n">
        <v>0.0078125</v>
      </c>
    </row>
    <row r="107">
      <c r="B107" s="45" t="inlineStr">
        <is>
          <t>📑 TOC</t>
        </is>
      </c>
      <c r="C107" s="37" t="n">
        <v>4</v>
      </c>
      <c r="D107" s="37" t="n">
        <v>7</v>
      </c>
      <c r="E107" s="38" t="n">
        <v>0.01822916666666667</v>
      </c>
    </row>
    <row r="108">
      <c r="B108" s="46" t="inlineStr">
        <is>
          <t>📰 Editorial</t>
        </is>
      </c>
      <c r="C108" s="37" t="n">
        <v>12</v>
      </c>
      <c r="D108" s="37" t="n">
        <v>18</v>
      </c>
      <c r="E108" s="38" t="n">
        <v>0.046875</v>
      </c>
    </row>
    <row r="109">
      <c r="B109" s="47" t="inlineStr">
        <is>
          <t>📋 Listing</t>
        </is>
      </c>
      <c r="C109" s="37" t="n">
        <v>34</v>
      </c>
      <c r="D109" s="37" t="n">
        <v>286</v>
      </c>
      <c r="E109" s="38" t="n">
        <v>0.7447916666666666</v>
      </c>
    </row>
    <row r="110">
      <c r="B110" s="47" t="inlineStr">
        <is>
          <t>🔠 Index</t>
        </is>
      </c>
      <c r="C110" s="37" t="n">
        <v>1</v>
      </c>
      <c r="D110" s="37" t="n">
        <v>12</v>
      </c>
      <c r="E110" s="38" t="n">
        <v>0.03125</v>
      </c>
    </row>
    <row r="111">
      <c r="B111" s="48" t="inlineStr">
        <is>
          <t>TOTAL</t>
        </is>
      </c>
      <c r="C111" s="49">
        <f>SUM(C100:C110)</f>
        <v/>
      </c>
      <c r="D111" s="49">
        <f>SUM(D100:D110)</f>
        <v/>
      </c>
      <c r="E111" s="50">
        <f>SUM(E100:E110)</f>
        <v/>
      </c>
    </row>
    <row r="113">
      <c r="B113" s="34" t="inlineStr">
        <is>
          <t>COMMERCIAL INVENTORY</t>
        </is>
      </c>
    </row>
    <row r="114">
      <c r="B114" s="51" t="inlineStr">
        <is>
          <t>Sellable positions (ads, DPS showcases, expert views)</t>
        </is>
      </c>
      <c r="C114" s="52" t="n"/>
      <c r="D114" s="52" t="n"/>
      <c r="E114" s="53" t="n">
        <v>23</v>
      </c>
    </row>
    <row r="115">
      <c r="B115" s="51" t="inlineStr">
        <is>
          <t>Pages they occupy</t>
        </is>
      </c>
      <c r="C115" s="52" t="n"/>
      <c r="D115" s="52" t="n"/>
      <c r="E115" s="53" t="n">
        <v>40</v>
      </c>
    </row>
    <row r="116">
      <c r="B116" s="51" t="inlineStr">
        <is>
          <t>Share of the book</t>
        </is>
      </c>
      <c r="C116" s="52" t="n"/>
      <c r="D116" s="52" t="n"/>
      <c r="E116" s="53" t="inlineStr">
        <is>
          <t>10.4%</t>
        </is>
      </c>
    </row>
    <row r="117">
      <c r="B117" s="51" t="inlineStr">
        <is>
          <t>Open slots still to sell</t>
        </is>
      </c>
      <c r="C117" s="52" t="n"/>
      <c r="D117" s="52" t="n"/>
      <c r="E117" s="53" t="n">
        <v>2</v>
      </c>
    </row>
    <row r="118">
      <c r="B118" s="51" t="inlineStr">
        <is>
          <t>Premium positions (IFC p2 · opening showcase pp19–20 · IBC p383 · Back Cover p384)</t>
        </is>
      </c>
      <c r="C118" s="52" t="n"/>
      <c r="D118" s="52" t="n"/>
      <c r="E118" s="53" t="n">
        <v>4</v>
      </c>
    </row>
    <row r="121">
      <c r="B121" s="34" t="inlineStr">
        <is>
          <t>DEADLINE CASCADE</t>
        </is>
      </c>
      <c r="E121" s="2" t="inlineStr">
        <is>
          <t>Set the press date and every milestone recalculates.</t>
        </is>
      </c>
    </row>
    <row r="122">
      <c r="B122" s="19" t="inlineStr">
        <is>
          <t>PRESS DATE →</t>
        </is>
      </c>
      <c r="C122" s="54" t="inlineStr">
        <is>
          <t>2027-07-01</t>
        </is>
      </c>
      <c r="D122" s="55" t="inlineStr">
        <is>
          <t>← edit this cell (YYYY-MM-DD)</t>
        </is>
      </c>
    </row>
    <row r="124">
      <c r="B124" s="35" t="inlineStr">
        <is>
          <t>WEEKS OUT</t>
        </is>
      </c>
      <c r="C124" s="35" t="inlineStr">
        <is>
          <t>MILESTONE</t>
        </is>
      </c>
      <c r="D124" s="35" t="inlineStr">
        <is>
          <t>DATE</t>
        </is>
      </c>
      <c r="E124" s="35" t="inlineStr">
        <is>
          <t>OWNER</t>
        </is>
      </c>
    </row>
    <row r="125">
      <c r="B125" s="37" t="inlineStr">
        <is>
          <t>P − 20 wks</t>
        </is>
      </c>
      <c r="C125" s="51" t="inlineStr">
        <is>
          <t>Rate card live · flat plan v1 published with premium positions mapped</t>
        </is>
      </c>
      <c r="D125" s="56">
        <f>IF($C$122="","",IF(ISNUMBER($C$122),$C$122,DATEVALUE($C$122))-140)</f>
        <v/>
      </c>
      <c r="E125" s="51" t="inlineStr">
        <is>
          <t>Sales + Production</t>
        </is>
      </c>
    </row>
    <row r="126">
      <c r="B126" s="37" t="inlineStr">
        <is>
          <t>P − 12 wks</t>
        </is>
      </c>
      <c r="C126" s="51" t="inlineStr">
        <is>
          <t>Premium positions close — IFC p2, opening showcase, IBC, back cover</t>
        </is>
      </c>
      <c r="D126" s="56">
        <f>IF($C$122="","",IF(ISNUMBER($C$122),$C$122,DATEVALUE($C$122))-84)</f>
        <v/>
      </c>
      <c r="E126" s="51" t="inlineStr">
        <is>
          <t>Sales</t>
        </is>
      </c>
    </row>
    <row r="127">
      <c r="B127" s="37" t="inlineStr">
        <is>
          <t>P − 10 wks</t>
        </is>
      </c>
      <c r="C127" s="51" t="inlineStr">
        <is>
          <t>AD SPACE CLOSE — all bookings in; page count locked to signatures</t>
        </is>
      </c>
      <c r="D127" s="56">
        <f>IF($C$122="","",IF(ISNUMBER($C$122),$C$122,DATEVALUE($C$122))-70)</f>
        <v/>
      </c>
      <c r="E127" s="51" t="inlineStr">
        <is>
          <t>Sales</t>
        </is>
      </c>
    </row>
    <row r="128">
      <c r="B128" s="37" t="inlineStr">
        <is>
          <t>P − 8 wks</t>
        </is>
      </c>
      <c r="C128" s="51" t="inlineStr">
        <is>
          <t>LISTING DATA FREEZE — master dataset locked; first flow to layout</t>
        </is>
      </c>
      <c r="D128" s="56">
        <f>IF($C$122="","",IF(ISNUMBER($C$122),$C$122,DATEVALUE($C$122))-56)</f>
        <v/>
      </c>
      <c r="E128" s="51" t="inlineStr">
        <is>
          <t>Data / Research</t>
        </is>
      </c>
    </row>
    <row r="129">
      <c r="B129" s="37" t="inlineStr">
        <is>
          <t>P − 6 wks</t>
        </is>
      </c>
      <c r="C129" s="51" t="inlineStr">
        <is>
          <t>Copy deadline — sponsored articles &amp; expert views</t>
        </is>
      </c>
      <c r="D129" s="56">
        <f>IF($C$122="","",IF(ISNUMBER($C$122),$C$122,DATEVALUE($C$122))-42)</f>
        <v/>
      </c>
      <c r="E129" s="51" t="inlineStr">
        <is>
          <t>Editorial</t>
        </is>
      </c>
    </row>
    <row r="130">
      <c r="B130" s="37" t="inlineStr">
        <is>
          <t>P − 5 wks</t>
        </is>
      </c>
      <c r="C130" s="51" t="inlineStr">
        <is>
          <t>AD MATERIALS DEADLINE — all supplied artwork in</t>
        </is>
      </c>
      <c r="D130" s="56">
        <f>IF($C$122="","",IF(ISNUMBER($C$122),$C$122,DATEVALUE($C$122))-35)</f>
        <v/>
      </c>
      <c r="E130" s="51" t="inlineStr">
        <is>
          <t>Production</t>
        </is>
      </c>
    </row>
    <row r="131">
      <c r="B131" s="37" t="inlineStr">
        <is>
          <t>P − 4 wks</t>
        </is>
      </c>
      <c r="C131" s="51" t="inlineStr">
        <is>
          <t>All pages designed; full-book first proof out</t>
        </is>
      </c>
      <c r="D131" s="56">
        <f>IF($C$122="","",IF(ISNUMBER($C$122),$C$122,DATEVALUE($C$122))-28)</f>
        <v/>
      </c>
      <c r="E131" s="51" t="inlineStr">
        <is>
          <t>Design</t>
        </is>
      </c>
    </row>
    <row r="132">
      <c r="B132" s="37" t="inlineStr">
        <is>
          <t>P − 3 wks</t>
        </is>
      </c>
      <c r="C132" s="51" t="inlineStr">
        <is>
          <t>Sponsor approvals returned on commercial pages</t>
        </is>
      </c>
      <c r="D132" s="56">
        <f>IF($C$122="","",IF(ISNUMBER($C$122),$C$122,DATEVALUE($C$122))-21)</f>
        <v/>
      </c>
      <c r="E132" s="51" t="inlineStr">
        <is>
          <t>Account Management</t>
        </is>
      </c>
    </row>
    <row r="133">
      <c r="B133" s="37" t="inlineStr">
        <is>
          <t>P − 2 wks</t>
        </is>
      </c>
      <c r="C133" s="51" t="inlineStr">
        <is>
          <t>COPY FREEZE — no further text changes</t>
        </is>
      </c>
      <c r="D133" s="56">
        <f>IF($C$122="","",IF(ISNUMBER($C$122),$C$122,DATEVALUE($C$122))-14)</f>
        <v/>
      </c>
      <c r="E133" s="51" t="inlineStr">
        <is>
          <t>Editorial</t>
        </is>
      </c>
    </row>
    <row r="134">
      <c r="B134" s="37" t="inlineStr">
        <is>
          <t>P − 1 wk</t>
        </is>
      </c>
      <c r="C134" s="51" t="inlineStr">
        <is>
          <t>Final proof signed off; every row at Signed Off</t>
        </is>
      </c>
      <c r="D134" s="56">
        <f>IF($C$122="","",IF(ISNUMBER($C$122),$C$122,DATEVALUE($C$122))-7)</f>
        <v/>
      </c>
      <c r="E134" s="51" t="inlineStr">
        <is>
          <t>Editor-in-Chief</t>
        </is>
      </c>
    </row>
    <row r="135">
      <c r="B135" s="57" t="inlineStr">
        <is>
          <t>PRESS</t>
        </is>
      </c>
      <c r="C135" s="51" t="inlineStr">
        <is>
          <t>PDF/X export, preflight, upload to printer</t>
        </is>
      </c>
      <c r="D135" s="56">
        <f>IF($C$122="","",IF(ISNUMBER($C$122),$C$122,DATEVALUE($C$122))-0)</f>
        <v/>
      </c>
      <c r="E135" s="51" t="inlineStr">
        <is>
          <t>Production</t>
        </is>
      </c>
    </row>
    <row r="137" ht="30" customHeight="1">
      <c r="B137" s="18" t="inlineStr">
        <is>
          <t>PRINTER NOTE — the plan is 384 pages, exactly 24 signatures of 16. The Brilliant Directories extract added 313 listings; moving S1/S2 and unclassified centres to a 36-row table and mixed-use to 6 per page absorbed them without shrinking the approved mall card. Must-Visit is restored to 10 pages.</t>
        </is>
      </c>
    </row>
  </sheetData>
  <autoFilter ref="A4:P95"/>
  <mergeCells count="4">
    <mergeCell ref="B97:I97"/>
    <mergeCell ref="B137:J137"/>
    <mergeCell ref="A1:F1"/>
    <mergeCell ref="A2:J2"/>
  </mergeCells>
  <dataValidations count="2">
    <dataValidation sqref="M5:M115" showDropDown="0" showInputMessage="0" showErrorMessage="0" allowBlank="1" type="list">
      <formula1>"Not Started,Commissioned,Chasing,Copy Received,Approved"</formula1>
    </dataValidation>
    <dataValidation sqref="N5:N115" showDropDown="0" showInputMessage="0" showErrorMessage="0" allowBlank="1" type="list">
      <formula1>"Not Started,In Design,First Proof,Corrections,Signed Off,Print-Ready"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5" customWidth="1" min="3" max="3"/>
    <col width="10" customWidth="1" min="4" max="4"/>
    <col width="9" customWidth="1" min="5" max="5"/>
    <col width="10" customWidth="1" min="6" max="6"/>
    <col width="16" customWidth="1" min="7" max="7"/>
    <col width="12" customWidth="1" min="8" max="8"/>
    <col width="15" customWidth="1" min="9" max="9"/>
    <col width="18" customWidth="1" min="10" max="10"/>
    <col width="18" customWidth="1" min="11" max="11"/>
    <col width="16" customWidth="1" min="12" max="12"/>
    <col width="40" customWidth="1" min="13" max="13"/>
  </cols>
  <sheetData>
    <row r="1">
      <c r="A1" s="6" t="inlineStr">
        <is>
          <t>05 · SERVICE PROVIDERS — pages 279–297</t>
        </is>
      </c>
    </row>
    <row r="2">
      <c r="A2" s="2" t="inlineStr">
        <is>
          <t>The 19 categories carried from the 2026 listing, with the page budget each earns. Use this to run the verification and outreach campaign.</t>
        </is>
      </c>
    </row>
    <row r="4" ht="32" customHeight="1">
      <c r="A4" s="7" t="inlineStr">
        <is>
          <t>SN</t>
        </is>
      </c>
      <c r="B4" s="7" t="inlineStr">
        <is>
          <t>CATEGORY</t>
        </is>
      </c>
      <c r="C4" s="7" t="inlineStr">
        <is>
          <t>PROVIDERS 2026</t>
        </is>
      </c>
      <c r="D4" s="7" t="inlineStr">
        <is>
          <t>SHARE</t>
        </is>
      </c>
      <c r="E4" s="7" t="inlineStr">
        <is>
          <t>PAGES</t>
        </is>
      </c>
      <c r="F4" s="7" t="inlineStr">
        <is>
          <t>PER PAGE</t>
        </is>
      </c>
      <c r="G4" s="8" t="inlineStr">
        <is>
          <t>OUTREACH SENT</t>
        </is>
      </c>
      <c r="H4" s="8" t="inlineStr">
        <is>
          <t>REPLIES</t>
        </is>
      </c>
      <c r="I4" s="8" t="inlineStr">
        <is>
          <t>VERIFIED 2027</t>
        </is>
      </c>
      <c r="J4" s="8" t="inlineStr">
        <is>
          <t>LOGO / ARTWORK IN</t>
        </is>
      </c>
      <c r="K4" s="8" t="inlineStr">
        <is>
          <t>STATUS</t>
        </is>
      </c>
      <c r="L4" s="8" t="inlineStr">
        <is>
          <t>OWNER</t>
        </is>
      </c>
      <c r="M4" s="8" t="inlineStr">
        <is>
          <t>NOTES</t>
        </is>
      </c>
    </row>
    <row r="5">
      <c r="A5" s="9" t="n">
        <v>1</v>
      </c>
      <c r="B5" s="10" t="inlineStr">
        <is>
          <t>Real Estate and Shopping Centre Companies</t>
        </is>
      </c>
      <c r="C5" s="22" t="n">
        <v>229</v>
      </c>
      <c r="D5" s="58" t="n">
        <v>0.2662790697674419</v>
      </c>
      <c r="E5" s="59" t="n">
        <v>4.5</v>
      </c>
      <c r="F5" s="22" t="n">
        <v>51</v>
      </c>
      <c r="G5" s="12" t="n"/>
      <c r="H5" s="12" t="n"/>
      <c r="I5" s="12" t="n"/>
      <c r="J5" s="12" t="n"/>
      <c r="K5" s="12" t="n"/>
      <c r="L5" s="12" t="n"/>
      <c r="M5" s="12" t="n"/>
    </row>
    <row r="6">
      <c r="A6" s="9" t="n">
        <v>2</v>
      </c>
      <c r="B6" s="10" t="inlineStr">
        <is>
          <t>Business Consulting and Research</t>
        </is>
      </c>
      <c r="C6" s="22" t="n">
        <v>107</v>
      </c>
      <c r="D6" s="58" t="n">
        <v>0.1244186046511628</v>
      </c>
      <c r="E6" s="59" t="n">
        <v>2</v>
      </c>
      <c r="F6" s="22" t="n">
        <v>54</v>
      </c>
      <c r="G6" s="12" t="n"/>
      <c r="H6" s="12" t="n"/>
      <c r="I6" s="12" t="n"/>
      <c r="J6" s="12" t="n"/>
      <c r="K6" s="12" t="n"/>
      <c r="L6" s="12" t="n"/>
      <c r="M6" s="12" t="n"/>
    </row>
    <row r="7">
      <c r="A7" s="9" t="n">
        <v>3</v>
      </c>
      <c r="B7" s="10" t="inlineStr">
        <is>
          <t>Digital Transformation and IT Services</t>
        </is>
      </c>
      <c r="C7" s="22" t="n">
        <v>101</v>
      </c>
      <c r="D7" s="58" t="n">
        <v>0.1174418604651163</v>
      </c>
      <c r="E7" s="59" t="n">
        <v>2</v>
      </c>
      <c r="F7" s="22" t="n">
        <v>50</v>
      </c>
      <c r="G7" s="12" t="n"/>
      <c r="H7" s="12" t="n"/>
      <c r="I7" s="12" t="n"/>
      <c r="J7" s="12" t="n"/>
      <c r="K7" s="12" t="n"/>
      <c r="L7" s="12" t="n"/>
      <c r="M7" s="12" t="n"/>
    </row>
    <row r="8">
      <c r="A8" s="9" t="n">
        <v>4</v>
      </c>
      <c r="B8" s="10" t="inlineStr">
        <is>
          <t>Leasing, Asset Management, and Advisory</t>
        </is>
      </c>
      <c r="C8" s="22" t="n">
        <v>75</v>
      </c>
      <c r="D8" s="58" t="n">
        <v>0.0872093023255814</v>
      </c>
      <c r="E8" s="59" t="n">
        <v>1.5</v>
      </c>
      <c r="F8" s="22" t="n">
        <v>50</v>
      </c>
      <c r="G8" s="12" t="n"/>
      <c r="H8" s="12" t="n"/>
      <c r="I8" s="12" t="n"/>
      <c r="J8" s="12" t="n"/>
      <c r="K8" s="12" t="n"/>
      <c r="L8" s="12" t="n"/>
      <c r="M8" s="12" t="n"/>
    </row>
    <row r="9">
      <c r="A9" s="9" t="n">
        <v>5</v>
      </c>
      <c r="B9" s="10" t="inlineStr">
        <is>
          <t>Advertising, Marketing, and PR</t>
        </is>
      </c>
      <c r="C9" s="22" t="n">
        <v>60</v>
      </c>
      <c r="D9" s="58" t="n">
        <v>0.06976744186046512</v>
      </c>
      <c r="E9" s="59" t="n">
        <v>1</v>
      </c>
      <c r="F9" s="22" t="n">
        <v>60</v>
      </c>
      <c r="G9" s="12" t="n"/>
      <c r="H9" s="12" t="n"/>
      <c r="I9" s="12" t="n"/>
      <c r="J9" s="12" t="n"/>
      <c r="K9" s="12" t="n"/>
      <c r="L9" s="12" t="n"/>
      <c r="M9" s="12" t="n"/>
    </row>
    <row r="10">
      <c r="A10" s="9" t="n">
        <v>6</v>
      </c>
      <c r="B10" s="10" t="inlineStr">
        <is>
          <t>Architecture, Design, and Construction</t>
        </is>
      </c>
      <c r="C10" s="22" t="n">
        <v>60</v>
      </c>
      <c r="D10" s="58" t="n">
        <v>0.06976744186046512</v>
      </c>
      <c r="E10" s="59" t="n">
        <v>1</v>
      </c>
      <c r="F10" s="22" t="n">
        <v>60</v>
      </c>
      <c r="G10" s="12" t="n"/>
      <c r="H10" s="12" t="n"/>
      <c r="I10" s="12" t="n"/>
      <c r="J10" s="12" t="n"/>
      <c r="K10" s="12" t="n"/>
      <c r="L10" s="12" t="n"/>
      <c r="M10" s="12" t="n"/>
    </row>
    <row r="11">
      <c r="A11" s="9" t="n">
        <v>7</v>
      </c>
      <c r="B11" s="10" t="inlineStr">
        <is>
          <t>Retail and Entertainment Solutions</t>
        </is>
      </c>
      <c r="C11" s="22" t="n">
        <v>52</v>
      </c>
      <c r="D11" s="58" t="n">
        <v>0.06046511627906977</v>
      </c>
      <c r="E11" s="59" t="n">
        <v>1</v>
      </c>
      <c r="F11" s="22" t="n">
        <v>52</v>
      </c>
      <c r="G11" s="12" t="n"/>
      <c r="H11" s="12" t="n"/>
      <c r="I11" s="12" t="n"/>
      <c r="J11" s="12" t="n"/>
      <c r="K11" s="12" t="n"/>
      <c r="L11" s="12" t="n"/>
      <c r="M11" s="12" t="n"/>
    </row>
    <row r="12">
      <c r="A12" s="9" t="n">
        <v>8</v>
      </c>
      <c r="B12" s="10" t="inlineStr">
        <is>
          <t>Events &amp; Exhibitions</t>
        </is>
      </c>
      <c r="C12" s="22" t="n">
        <v>26</v>
      </c>
      <c r="D12" s="58" t="n">
        <v>0.03023255813953488</v>
      </c>
      <c r="E12" s="59" t="n">
        <v>0.5</v>
      </c>
      <c r="F12" s="22" t="n">
        <v>52</v>
      </c>
      <c r="G12" s="12" t="n"/>
      <c r="H12" s="12" t="n"/>
      <c r="I12" s="12" t="n"/>
      <c r="J12" s="12" t="n"/>
      <c r="K12" s="12" t="n"/>
      <c r="L12" s="12" t="n"/>
      <c r="M12" s="12" t="n"/>
    </row>
    <row r="13">
      <c r="A13" s="9" t="n">
        <v>9</v>
      </c>
      <c r="B13" s="10" t="inlineStr">
        <is>
          <t>Financial and Professional Services</t>
        </is>
      </c>
      <c r="C13" s="22" t="n">
        <v>26</v>
      </c>
      <c r="D13" s="58" t="n">
        <v>0.03023255813953488</v>
      </c>
      <c r="E13" s="59" t="n">
        <v>0.5</v>
      </c>
      <c r="F13" s="22" t="n">
        <v>52</v>
      </c>
      <c r="G13" s="12" t="n"/>
      <c r="H13" s="12" t="n"/>
      <c r="I13" s="12" t="n"/>
      <c r="J13" s="12" t="n"/>
      <c r="K13" s="12" t="n"/>
      <c r="L13" s="12" t="n"/>
      <c r="M13" s="12" t="n"/>
    </row>
    <row r="14">
      <c r="A14" s="9" t="n">
        <v>10</v>
      </c>
      <c r="B14" s="10" t="inlineStr">
        <is>
          <t>Interior Design and Fit-out</t>
        </is>
      </c>
      <c r="C14" s="22" t="n">
        <v>26</v>
      </c>
      <c r="D14" s="58" t="n">
        <v>0.03023255813953488</v>
      </c>
      <c r="E14" s="59" t="n">
        <v>0.5</v>
      </c>
      <c r="F14" s="22" t="n">
        <v>52</v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9" t="n">
        <v>11</v>
      </c>
      <c r="B15" s="10" t="inlineStr">
        <is>
          <t>Furnishing, Decorations, and Supplies</t>
        </is>
      </c>
      <c r="C15" s="22" t="n">
        <v>21</v>
      </c>
      <c r="D15" s="58" t="n">
        <v>0.02441860465116279</v>
      </c>
      <c r="E15" s="59" t="n">
        <v>0.5</v>
      </c>
      <c r="F15" s="22" t="n">
        <v>42</v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s="9" t="n">
        <v>12</v>
      </c>
      <c r="B16" s="10" t="inlineStr">
        <is>
          <t>Economic Development and Investment Promotion</t>
        </is>
      </c>
      <c r="C16" s="22" t="n">
        <v>13</v>
      </c>
      <c r="D16" s="58" t="n">
        <v>0.01511627906976744</v>
      </c>
      <c r="E16" s="59" t="n">
        <v>0.5</v>
      </c>
      <c r="F16" s="22" t="n">
        <v>26</v>
      </c>
      <c r="G16" s="12" t="n"/>
      <c r="H16" s="12" t="n"/>
      <c r="I16" s="12" t="n"/>
      <c r="J16" s="12" t="n"/>
      <c r="K16" s="12" t="n"/>
      <c r="L16" s="12" t="n"/>
      <c r="M16" s="12" t="n"/>
    </row>
    <row r="17">
      <c r="A17" s="9" t="n">
        <v>13</v>
      </c>
      <c r="B17" s="10" t="inlineStr">
        <is>
          <t>Facility Management Company</t>
        </is>
      </c>
      <c r="C17" s="22" t="n">
        <v>12</v>
      </c>
      <c r="D17" s="58" t="n">
        <v>0.01395348837209302</v>
      </c>
      <c r="E17" s="59" t="n">
        <v>0.5</v>
      </c>
      <c r="F17" s="22" t="n">
        <v>24</v>
      </c>
      <c r="G17" s="12" t="n"/>
      <c r="H17" s="12" t="n"/>
      <c r="I17" s="12" t="n"/>
      <c r="J17" s="12" t="n"/>
      <c r="K17" s="12" t="n"/>
      <c r="L17" s="12" t="n"/>
      <c r="M17" s="12" t="n"/>
    </row>
    <row r="18">
      <c r="A18" s="9" t="n">
        <v>14</v>
      </c>
      <c r="B18" s="10" t="inlineStr">
        <is>
          <t>Global Partnership and Collaboration</t>
        </is>
      </c>
      <c r="C18" s="22" t="n">
        <v>12</v>
      </c>
      <c r="D18" s="58" t="n">
        <v>0.01395348837209302</v>
      </c>
      <c r="E18" s="59" t="n">
        <v>0.5</v>
      </c>
      <c r="F18" s="22" t="n">
        <v>24</v>
      </c>
      <c r="G18" s="12" t="n"/>
      <c r="H18" s="12" t="n"/>
      <c r="I18" s="12" t="n"/>
      <c r="J18" s="12" t="n"/>
      <c r="K18" s="12" t="n"/>
      <c r="L18" s="12" t="n"/>
      <c r="M18" s="12" t="n"/>
    </row>
    <row r="19">
      <c r="A19" s="9" t="n">
        <v>15</v>
      </c>
      <c r="B19" s="10" t="inlineStr">
        <is>
          <t>Digital Signage and Displays</t>
        </is>
      </c>
      <c r="C19" s="22" t="n">
        <v>10</v>
      </c>
      <c r="D19" s="58" t="n">
        <v>0.01162790697674419</v>
      </c>
      <c r="E19" s="59" t="n">
        <v>0.5</v>
      </c>
      <c r="F19" s="22" t="n">
        <v>20</v>
      </c>
      <c r="G19" s="12" t="n"/>
      <c r="H19" s="12" t="n"/>
      <c r="I19" s="12" t="n"/>
      <c r="J19" s="12" t="n"/>
      <c r="K19" s="12" t="n"/>
      <c r="L19" s="12" t="n"/>
      <c r="M19" s="12" t="n"/>
    </row>
    <row r="20">
      <c r="A20" s="9" t="n">
        <v>16</v>
      </c>
      <c r="B20" s="10" t="inlineStr">
        <is>
          <t>Human Resources and Training</t>
        </is>
      </c>
      <c r="C20" s="22" t="n">
        <v>10</v>
      </c>
      <c r="D20" s="58" t="n">
        <v>0.01162790697674419</v>
      </c>
      <c r="E20" s="59" t="n">
        <v>0.5</v>
      </c>
      <c r="F20" s="22" t="n">
        <v>20</v>
      </c>
      <c r="G20" s="12" t="n"/>
      <c r="H20" s="12" t="n"/>
      <c r="I20" s="12" t="n"/>
      <c r="J20" s="12" t="n"/>
      <c r="K20" s="12" t="n"/>
      <c r="L20" s="12" t="n"/>
      <c r="M20" s="12" t="n"/>
    </row>
    <row r="21">
      <c r="A21" s="9" t="n">
        <v>17</v>
      </c>
      <c r="B21" s="10" t="inlineStr">
        <is>
          <t>Data and Analytics</t>
        </is>
      </c>
      <c r="C21" s="22" t="n">
        <v>9</v>
      </c>
      <c r="D21" s="58" t="n">
        <v>0.01046511627906977</v>
      </c>
      <c r="E21" s="59" t="n">
        <v>0.5</v>
      </c>
      <c r="F21" s="22" t="n">
        <v>18</v>
      </c>
      <c r="G21" s="12" t="n"/>
      <c r="H21" s="12" t="n"/>
      <c r="I21" s="12" t="n"/>
      <c r="J21" s="12" t="n"/>
      <c r="K21" s="12" t="n"/>
      <c r="L21" s="12" t="n"/>
      <c r="M21" s="12" t="n"/>
    </row>
    <row r="22">
      <c r="A22" s="9" t="n">
        <v>18</v>
      </c>
      <c r="B22" s="10" t="inlineStr">
        <is>
          <t>Logistics and Transportation</t>
        </is>
      </c>
      <c r="C22" s="22" t="n">
        <v>8</v>
      </c>
      <c r="D22" s="58" t="n">
        <v>0.009302325581395349</v>
      </c>
      <c r="E22" s="59" t="n">
        <v>0.5</v>
      </c>
      <c r="F22" s="22" t="n">
        <v>16</v>
      </c>
      <c r="G22" s="12" t="n"/>
      <c r="H22" s="12" t="n"/>
      <c r="I22" s="12" t="n"/>
      <c r="J22" s="12" t="n"/>
      <c r="K22" s="12" t="n"/>
      <c r="L22" s="12" t="n"/>
      <c r="M22" s="12" t="n"/>
    </row>
    <row r="23">
      <c r="A23" s="9" t="n">
        <v>19</v>
      </c>
      <c r="B23" s="10" t="inlineStr">
        <is>
          <t>Visual Merchandising</t>
        </is>
      </c>
      <c r="C23" s="22" t="n">
        <v>3</v>
      </c>
      <c r="D23" s="58" t="n">
        <v>0.003488372093023256</v>
      </c>
      <c r="E23" s="59" t="n">
        <v>0.5</v>
      </c>
      <c r="F23" s="22" t="n">
        <v>6</v>
      </c>
      <c r="G23" s="12" t="n"/>
      <c r="H23" s="12" t="n"/>
      <c r="I23" s="12" t="n"/>
      <c r="J23" s="12" t="n"/>
      <c r="K23" s="12" t="n"/>
      <c r="L23" s="12" t="n"/>
      <c r="M23" s="12" t="n"/>
    </row>
    <row r="24">
      <c r="B24" s="60" t="inlineStr">
        <is>
          <t>TOTAL</t>
        </is>
      </c>
      <c r="C24" s="49">
        <f>SUM(C5:C23)</f>
        <v/>
      </c>
      <c r="D24" s="50">
        <f>SUM(D5:D23)</f>
        <v/>
      </c>
      <c r="E24" s="61">
        <f>SUM(E5:E23)</f>
        <v/>
      </c>
      <c r="F24" s="62" t="inlineStr">
        <is>
          <t>of 19 pp</t>
        </is>
      </c>
    </row>
    <row r="25">
      <c r="B25" s="55" t="inlineStr">
        <is>
          <t>A 0.5-page category shares a page with the next one. PER PAGE is the number of provider entries the layout must fit on a page at that allocation.</t>
        </is>
      </c>
    </row>
    <row r="27" ht="32" customHeight="1">
      <c r="B27" s="18" t="inlineStr">
        <is>
          <t>CAMPAIGN — send the verification request to the category owner, log the date in OUTREACH SENT, chase at +7 and +14 days, and only move a provider to VERIFIED when the company itself confirms name, category, contact and website. Unverified providers carry over from 2026 with a 'record unconfirmed' marker rather than being dropped.</t>
        </is>
      </c>
    </row>
  </sheetData>
  <autoFilter ref="A4:M23"/>
  <mergeCells count="3">
    <mergeCell ref="B27:J27"/>
    <mergeCell ref="A1:F1"/>
    <mergeCell ref="A2:J2"/>
  </mergeCells>
  <dataValidations count="1">
    <dataValidation sqref="K5:K43" showDropDown="0" showInputMessage="0" showErrorMessage="0" allowBlank="1" type="list">
      <formula1>"Not Started,Outreach Sent,Reminder Sent,Replied,Verified,No Response,Dropped"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30" customWidth="1" min="4" max="4"/>
    <col width="24" customWidth="1" min="5" max="5"/>
    <col width="28" customWidth="1" min="6" max="6"/>
    <col width="40" customWidth="1" min="7" max="7"/>
    <col width="60" customWidth="1" min="8" max="8"/>
    <col width="14" customWidth="1" min="9" max="9"/>
    <col width="12" customWidth="1" min="10" max="10"/>
    <col width="16" customWidth="1" min="11" max="11"/>
    <col width="16" customWidth="1" min="12" max="12"/>
    <col width="17" customWidth="1" min="13" max="13"/>
    <col width="16" customWidth="1" min="14" max="14"/>
    <col width="14" customWidth="1" min="15" max="15"/>
    <col width="30" customWidth="1" min="16" max="16"/>
  </cols>
  <sheetData>
    <row r="1">
      <c r="A1" s="6" t="inlineStr">
        <is>
          <t>06 · EXPERT VIEWS — pages 34-51</t>
        </is>
      </c>
    </row>
    <row r="2">
      <c r="A2" s="2" t="inlineStr">
        <is>
          <t>Nine contracted thought-leadership spreads with the 2027 author assigned. Titles are proposed; each is grounded in something the company has publicly done — check the dossier for the basis.</t>
        </is>
      </c>
    </row>
    <row r="4" ht="32" customHeight="1">
      <c r="A4" s="7" t="inlineStr">
        <is>
          <t>SLOT</t>
        </is>
      </c>
      <c r="B4" s="7" t="inlineStr">
        <is>
          <t>SLOT NAME</t>
        </is>
      </c>
      <c r="C4" s="7" t="inlineStr">
        <is>
          <t>2027 PAGES</t>
        </is>
      </c>
      <c r="D4" s="7" t="inlineStr">
        <is>
          <t>COMPANY</t>
        </is>
      </c>
      <c r="E4" s="7" t="inlineStr">
        <is>
          <t>AUTHOR</t>
        </is>
      </c>
      <c r="F4" s="7" t="inlineStr">
        <is>
          <t>JOB TITLE</t>
        </is>
      </c>
      <c r="G4" s="7" t="inlineStr">
        <is>
          <t>PROPOSED TITLE</t>
        </is>
      </c>
      <c r="H4" s="7" t="inlineStr">
        <is>
          <t>STANDFIRST</t>
        </is>
      </c>
      <c r="I4" s="8" t="inlineStr">
        <is>
          <t>TITLE AGREED</t>
        </is>
      </c>
      <c r="J4" s="8" t="inlineStr">
        <is>
          <t>WORD COUNT</t>
        </is>
      </c>
      <c r="K4" s="8" t="inlineStr">
        <is>
          <t>COPY RECEIVED</t>
        </is>
      </c>
      <c r="L4" s="8" t="inlineStr">
        <is>
          <t>HEADSHOT IN</t>
        </is>
      </c>
      <c r="M4" s="8" t="inlineStr">
        <is>
          <t>CONTENT STATUS</t>
        </is>
      </c>
      <c r="N4" s="8" t="inlineStr">
        <is>
          <t>DESIGN STATUS</t>
        </is>
      </c>
      <c r="O4" s="8" t="inlineStr">
        <is>
          <t>OWNER</t>
        </is>
      </c>
      <c r="P4" s="8" t="inlineStr">
        <is>
          <t>NOTES</t>
        </is>
      </c>
    </row>
    <row r="5" ht="30" customHeight="1">
      <c r="A5" s="22" t="n">
        <v>1</v>
      </c>
      <c r="B5" s="10" t="inlineStr">
        <is>
          <t>Expert View 01</t>
        </is>
      </c>
      <c r="C5" s="23" t="inlineStr">
        <is>
          <t>39-40</t>
        </is>
      </c>
      <c r="D5" s="10" t="inlineStr">
        <is>
          <t>Cenomi Centers</t>
        </is>
      </c>
      <c r="E5" s="9" t="inlineStr">
        <is>
          <t>Alison Rehill-Erguven</t>
        </is>
      </c>
      <c r="F5" s="9" t="inlineStr">
        <is>
          <t>Chief Executive Officer</t>
        </is>
      </c>
      <c r="G5" s="10" t="inlineStr">
        <is>
          <t>What Westfield Actually Changes</t>
        </is>
      </c>
      <c r="H5" s="10" t="inlineStr">
        <is>
          <t>A global brand licence is an operating discipline before it is a logo. On what had to change inside the business before the first Westfield centre could open in the Kingdom.</t>
        </is>
      </c>
      <c r="I5" s="12" t="n"/>
      <c r="J5" s="12" t="n"/>
      <c r="K5" s="12" t="n"/>
      <c r="L5" s="12" t="n"/>
      <c r="M5" s="12" t="n"/>
      <c r="N5" s="12" t="n"/>
      <c r="O5" s="12" t="n"/>
      <c r="P5" s="12" t="n"/>
    </row>
    <row r="6" ht="30" customHeight="1">
      <c r="A6" s="22" t="n">
        <v>2</v>
      </c>
      <c r="B6" s="10" t="inlineStr">
        <is>
          <t>Expert View 02</t>
        </is>
      </c>
      <c r="C6" s="23" t="inlineStr">
        <is>
          <t>41-42</t>
        </is>
      </c>
      <c r="D6" s="10" t="inlineStr">
        <is>
          <t>Knowledge Economic City</t>
        </is>
      </c>
      <c r="E6" s="9" t="inlineStr">
        <is>
          <t>Dr. Moath Al Yahya</t>
        </is>
      </c>
      <c r="F6" s="9" t="inlineStr">
        <is>
          <t>Chief Executive Officer</t>
        </is>
      </c>
      <c r="G6" s="10" t="inlineStr">
        <is>
          <t>Ten Million Visitors Who Did Not Come to Shop</t>
        </is>
      </c>
      <c r="H6" s="10" t="inlineStr">
        <is>
          <t>Madinah's demand anchor is pilgrimage. Why that makes retail underwriting in a faith-tourism city a different exercise from anywhere else in the region.</t>
        </is>
      </c>
      <c r="I6" s="12" t="n"/>
      <c r="J6" s="12" t="n"/>
      <c r="K6" s="12" t="n"/>
      <c r="L6" s="12" t="n"/>
      <c r="M6" s="12" t="n"/>
      <c r="N6" s="12" t="n"/>
      <c r="O6" s="12" t="n"/>
      <c r="P6" s="12" t="n"/>
    </row>
    <row r="7" ht="30" customHeight="1">
      <c r="A7" s="22" t="n">
        <v>3</v>
      </c>
      <c r="B7" s="10" t="inlineStr">
        <is>
          <t>Expert View 03</t>
        </is>
      </c>
      <c r="C7" s="23" t="inlineStr">
        <is>
          <t>43-44</t>
        </is>
      </c>
      <c r="D7" s="10" t="inlineStr">
        <is>
          <t>Azad Properties</t>
        </is>
      </c>
      <c r="E7" s="9" t="inlineStr">
        <is>
          <t>Ayman Al Burti</t>
        </is>
      </c>
      <c r="F7" s="9" t="inlineStr">
        <is>
          <t>Chief Executive Officer</t>
        </is>
      </c>
      <c r="G7" s="10" t="inlineStr">
        <is>
          <t>A Souq at 720,000 Square Metres</t>
        </is>
      </c>
      <c r="H7" s="10" t="inlineStr">
        <is>
          <t>Scale usually flattens the thing it scales. What Souq7 did to keep the format intact while making the economics work.</t>
        </is>
      </c>
      <c r="I7" s="12" t="n"/>
      <c r="J7" s="12" t="n"/>
      <c r="K7" s="12" t="n"/>
      <c r="L7" s="12" t="n"/>
      <c r="M7" s="12" t="n"/>
      <c r="N7" s="12" t="n"/>
      <c r="O7" s="12" t="n"/>
      <c r="P7" s="12" t="n"/>
    </row>
    <row r="8" ht="30" customHeight="1">
      <c r="A8" s="22" t="n">
        <v>4</v>
      </c>
      <c r="B8" s="10" t="inlineStr">
        <is>
          <t>Expert View 04</t>
        </is>
      </c>
      <c r="C8" s="23" t="inlineStr">
        <is>
          <t>45-46</t>
        </is>
      </c>
      <c r="D8" s="10" t="inlineStr">
        <is>
          <t>Red Sea Malls</t>
        </is>
      </c>
      <c r="E8" s="9" t="inlineStr">
        <is>
          <t>Ibrahim Al Qasmi</t>
        </is>
      </c>
      <c r="F8" s="9" t="inlineStr">
        <is>
          <t>Chief Executive Officer</t>
        </is>
      </c>
      <c r="G8" s="10" t="inlineStr">
        <is>
          <t>Twenty Years In, and Trading Better</t>
        </is>
      </c>
      <c r="H8" s="10" t="inlineStr">
        <is>
          <t>The case for reworking 10,000 sqm of an existing centre rather than building 100,000 new ones — and what the wellness and beauty categories did to dwell time.</t>
        </is>
      </c>
      <c r="I8" s="12" t="n"/>
      <c r="J8" s="12" t="n"/>
      <c r="K8" s="12" t="n"/>
      <c r="L8" s="12" t="n"/>
      <c r="M8" s="12" t="n"/>
      <c r="N8" s="12" t="n"/>
      <c r="O8" s="12" t="n"/>
      <c r="P8" s="12" t="n"/>
    </row>
    <row r="9" ht="30" customHeight="1">
      <c r="A9" s="22" t="n">
        <v>5</v>
      </c>
      <c r="B9" s="10" t="inlineStr">
        <is>
          <t>Expert View 05</t>
        </is>
      </c>
      <c r="C9" s="23" t="inlineStr">
        <is>
          <t>47-48</t>
        </is>
      </c>
      <c r="D9" s="10" t="inlineStr">
        <is>
          <t>Danah Real Estate</t>
        </is>
      </c>
      <c r="E9" s="9" t="inlineStr">
        <is>
          <t>Yasser Al Kaltham</t>
        </is>
      </c>
      <c r="F9" s="9" t="inlineStr">
        <is>
          <t>Chief Commercial Officer</t>
        </is>
      </c>
      <c r="G9" s="10" t="inlineStr">
        <is>
          <t>Renovating a Mall That Never Closes</t>
        </is>
      </c>
      <c r="H9" s="10" t="inlineStr">
        <is>
          <t>Al Rashid Mall has been rebuilt around its shoppers since February 2023 without shutting a single trading day. The operational cost of that decision, and why it was still the right one.</t>
        </is>
      </c>
      <c r="I9" s="12" t="n"/>
      <c r="J9" s="12" t="n"/>
      <c r="K9" s="12" t="n"/>
      <c r="L9" s="12" t="n"/>
      <c r="M9" s="12" t="n"/>
      <c r="N9" s="12" t="n"/>
      <c r="O9" s="12" t="n"/>
      <c r="P9" s="12" t="n"/>
    </row>
    <row r="10" ht="30" customHeight="1">
      <c r="A10" s="22" t="n">
        <v>6</v>
      </c>
      <c r="B10" s="10" t="inlineStr">
        <is>
          <t>Expert View 06</t>
        </is>
      </c>
      <c r="C10" s="23" t="inlineStr">
        <is>
          <t>49-50</t>
        </is>
      </c>
      <c r="D10" s="10" t="inlineStr">
        <is>
          <t>Yardi Systems</t>
        </is>
      </c>
      <c r="E10" s="9" t="inlineStr">
        <is>
          <t>Neal Gemassmer</t>
        </is>
      </c>
      <c r="F10" s="9" t="inlineStr">
        <is>
          <t>VP &amp; General Manager, International</t>
        </is>
      </c>
      <c r="G10" s="10" t="inlineStr">
        <is>
          <t>There Is No AI Without One Set of Numbers</t>
        </is>
      </c>
      <c r="H10" s="10" t="inlineStr">
        <is>
          <t>Most landlords are three systems away from being able to use the tools they are being sold. On what a single source of truth actually requires.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 ht="30" customHeight="1">
      <c r="A11" s="22" t="n">
        <v>7</v>
      </c>
      <c r="B11" s="10" t="inlineStr">
        <is>
          <t>Expert View 07</t>
        </is>
      </c>
      <c r="C11" s="23" t="inlineStr">
        <is>
          <t>51-52</t>
        </is>
      </c>
      <c r="D11" s="10" t="inlineStr">
        <is>
          <t>MRI Software</t>
        </is>
      </c>
      <c r="E11" s="9" t="inlineStr">
        <is>
          <t>Robert Stringer</t>
        </is>
      </c>
      <c r="F11" s="9" t="inlineStr">
        <is>
          <t>Managing Director, Middle East</t>
        </is>
      </c>
      <c r="G11" s="10" t="inlineStr">
        <is>
          <t>Software That Knows Where It Is</t>
        </is>
      </c>
      <c r="H11" s="10" t="inlineStr">
        <is>
          <t>Why regional property platforms fail when they are localised as an afterthought, and what changed when the engineering moved closer to the market.</t>
        </is>
      </c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 ht="30" customHeight="1">
      <c r="A12" s="22" t="n">
        <v>8</v>
      </c>
      <c r="B12" s="10" t="inlineStr">
        <is>
          <t>Expert View 08</t>
        </is>
      </c>
      <c r="C12" s="23" t="inlineStr">
        <is>
          <t>53-54</t>
        </is>
      </c>
      <c r="D12" s="10" t="inlineStr">
        <is>
          <t>LuckyOne Mall</t>
        </is>
      </c>
      <c r="E12" s="9" t="inlineStr">
        <is>
          <t>Saad Zuberi</t>
        </is>
      </c>
      <c r="F12" s="9" t="inlineStr">
        <is>
          <t>Chief Executive Officer</t>
        </is>
      </c>
      <c r="G12" s="10" t="inlineStr">
        <is>
          <t>From Mall to District</t>
        </is>
      </c>
      <c r="H12" s="10" t="inlineStr">
        <is>
          <t>Pakistan's largest centre is becoming a mixed-use address. What eight residential towers on the same podium do to a retail operating model.</t>
        </is>
      </c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 ht="30" customHeight="1">
      <c r="A13" s="22" t="n">
        <v>9</v>
      </c>
      <c r="B13" s="10" t="inlineStr">
        <is>
          <t>Expert View 09</t>
        </is>
      </c>
      <c r="C13" s="23" t="inlineStr">
        <is>
          <t>55-56</t>
        </is>
      </c>
      <c r="D13" s="10" t="inlineStr">
        <is>
          <t>Heartatwork Hospitality Consulting</t>
        </is>
      </c>
      <c r="E13" s="9" t="inlineStr">
        <is>
          <t>Will Odwarka</t>
        </is>
      </c>
      <c r="F13" s="9" t="inlineStr">
        <is>
          <t>Founder &amp; Chief Executive Officer</t>
        </is>
      </c>
      <c r="G13" s="10" t="inlineStr">
        <is>
          <t>The Food Court Is Dead. Long Live the Food Court.</t>
        </is>
      </c>
      <c r="H13" s="10" t="inlineStr">
        <is>
          <t>Landlords keep leasing F&amp;B as though it were retail with a kitchen. Thirty years and a thousand openings say otherwise.</t>
        </is>
      </c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5" ht="34" customHeight="1">
      <c r="B15" s="18" t="inlineStr">
        <is>
          <t>Spec — 900-1,100 words for a two-page spread, plus an author headshot at 1200px minimum and two supporting images at 300dpi. Three author names still need confirming before print: Al Othaim's CEO is contradictory across sources, KEC changed CEO mid-2026, and Unified publishes no named executive.</t>
        </is>
      </c>
    </row>
  </sheetData>
  <autoFilter ref="A4:P13"/>
  <mergeCells count="3">
    <mergeCell ref="B15:J15"/>
    <mergeCell ref="A1:F1"/>
    <mergeCell ref="A2:J2"/>
  </mergeCells>
  <dataValidations count="2">
    <dataValidation sqref="M5:M33" showDropDown="0" showInputMessage="0" showErrorMessage="0" allowBlank="1" type="list">
      <formula1>"Not Started,Commissioned,Chasing,Copy Received,Approved"</formula1>
    </dataValidation>
    <dataValidation sqref="N5:N33" showDropDown="0" showInputMessage="0" showErrorMessage="0" allowBlank="1" type="list">
      <formula1>"Not Started,In Design,First Proof,Corrections,Signed Off,Print-Ready"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16" customWidth="1" min="4" max="4"/>
    <col width="34" customWidth="1" min="5" max="5"/>
    <col width="14" customWidth="1" min="6" max="6"/>
    <col width="16" customWidth="1" min="7" max="7"/>
  </cols>
  <sheetData>
    <row r="1">
      <c r="A1" s="6" t="inlineStr">
        <is>
          <t>OVERVIEW — all entitlements and delivery status</t>
        </is>
      </c>
    </row>
    <row r="2">
      <c r="A2" s="2" t="inlineStr">
        <is>
          <t>Every signed company against every entitlement. Counts below update from the section sheets.</t>
        </is>
      </c>
    </row>
    <row r="4" ht="32" customHeight="1">
      <c r="A4" s="7" t="inlineStr">
        <is>
          <t>SN</t>
        </is>
      </c>
      <c r="B4" s="7" t="inlineStr">
        <is>
          <t>COMPANY</t>
        </is>
      </c>
      <c r="C4" s="7" t="inlineStr">
        <is>
          <t>TIER</t>
        </is>
      </c>
      <c r="D4" s="7" t="inlineStr">
        <is>
          <t>DIRECTORY AD</t>
        </is>
      </c>
      <c r="E4" s="7" t="inlineStr">
        <is>
          <t>RPM AD</t>
        </is>
      </c>
      <c r="F4" s="7" t="inlineStr">
        <is>
          <t>RPM PROFILE</t>
        </is>
      </c>
      <c r="G4" s="7" t="inlineStr">
        <is>
          <t>CORPORATE SEATS</t>
        </is>
      </c>
    </row>
    <row r="5">
      <c r="A5" s="9" t="n">
        <v>1</v>
      </c>
      <c r="B5" s="10" t="inlineStr">
        <is>
          <t>CENOMI CENTERS</t>
        </is>
      </c>
      <c r="C5" s="11" t="inlineStr">
        <is>
          <t>1. DIAMOND SPONSOR</t>
        </is>
      </c>
      <c r="D5" s="9" t="inlineStr">
        <is>
          <t>Double Page</t>
        </is>
      </c>
      <c r="E5" s="10" t="inlineStr">
        <is>
          <t>Double Page</t>
        </is>
      </c>
      <c r="F5" s="9" t="inlineStr">
        <is>
          <t>Yes</t>
        </is>
      </c>
      <c r="G5" s="9" t="n">
        <v>35</v>
      </c>
    </row>
    <row r="6">
      <c r="A6" s="9" t="n">
        <v>2</v>
      </c>
      <c r="B6" s="10" t="inlineStr">
        <is>
          <t>UNIFIED REAL ESTATE DEVELOPMENT</t>
        </is>
      </c>
      <c r="C6" s="11" t="inlineStr">
        <is>
          <t>1. DIAMOND SPONSOR</t>
        </is>
      </c>
      <c r="D6" s="9" t="inlineStr">
        <is>
          <t>Double Page</t>
        </is>
      </c>
      <c r="E6" s="10" t="inlineStr">
        <is>
          <t>Double Page</t>
        </is>
      </c>
      <c r="F6" s="9" t="inlineStr">
        <is>
          <t>Yes</t>
        </is>
      </c>
      <c r="G6" s="9" t="n">
        <v>20</v>
      </c>
    </row>
    <row r="7">
      <c r="A7" s="9" t="n">
        <v>3</v>
      </c>
      <c r="B7" s="10" t="inlineStr">
        <is>
          <t>AL OTHAIM INVESTMENT</t>
        </is>
      </c>
      <c r="C7" s="11" t="inlineStr">
        <is>
          <t>1. DIAMOND SPONSOR</t>
        </is>
      </c>
      <c r="D7" s="9" t="inlineStr">
        <is>
          <t>Double Page</t>
        </is>
      </c>
      <c r="E7" s="10" t="inlineStr">
        <is>
          <t>Double Page</t>
        </is>
      </c>
      <c r="F7" s="9" t="inlineStr">
        <is>
          <t>Yes</t>
        </is>
      </c>
      <c r="G7" s="9" t="n">
        <v>20</v>
      </c>
    </row>
    <row r="8">
      <c r="A8" s="9" t="n">
        <v>4</v>
      </c>
      <c r="B8" s="10" t="inlineStr">
        <is>
          <t>AZAD PROPERTIES | RED MALLS</t>
        </is>
      </c>
      <c r="C8" s="11" t="inlineStr">
        <is>
          <t>1. DIAMOND SPONSOR</t>
        </is>
      </c>
      <c r="D8" s="9" t="inlineStr">
        <is>
          <t>Double Page</t>
        </is>
      </c>
      <c r="E8" s="10" t="inlineStr">
        <is>
          <t>Double Page  +  1 Full Page Ad (Q2 &amp; Q3, add-on)</t>
        </is>
      </c>
      <c r="F8" s="9" t="inlineStr">
        <is>
          <t>Yes</t>
        </is>
      </c>
      <c r="G8" s="9" t="n">
        <v>20</v>
      </c>
    </row>
    <row r="9">
      <c r="A9" s="9" t="n">
        <v>5</v>
      </c>
      <c r="B9" s="10" t="inlineStr">
        <is>
          <t>KNOWLEDGE ECONOMIC CITY CO.</t>
        </is>
      </c>
      <c r="C9" s="13" t="inlineStr">
        <is>
          <t>2. PLATINUM SPONSOR</t>
        </is>
      </c>
      <c r="D9" s="9" t="inlineStr">
        <is>
          <t>Double Page</t>
        </is>
      </c>
      <c r="E9" s="10" t="inlineStr">
        <is>
          <t>Double Page</t>
        </is>
      </c>
      <c r="F9" s="9" t="inlineStr">
        <is>
          <t>Yes</t>
        </is>
      </c>
      <c r="G9" s="9" t="n">
        <v>10</v>
      </c>
    </row>
    <row r="10">
      <c r="A10" s="9" t="n">
        <v>6</v>
      </c>
      <c r="B10" s="10" t="inlineStr">
        <is>
          <t>RED SEA MALLS</t>
        </is>
      </c>
      <c r="C10" s="13" t="inlineStr">
        <is>
          <t>2. PLATINUM SPONSOR</t>
        </is>
      </c>
      <c r="D10" s="9" t="inlineStr">
        <is>
          <t>Double Page</t>
        </is>
      </c>
      <c r="E10" s="10" t="inlineStr">
        <is>
          <t>Double Page</t>
        </is>
      </c>
      <c r="F10" s="9" t="inlineStr">
        <is>
          <t>Yes</t>
        </is>
      </c>
      <c r="G10" s="9" t="n">
        <v>16</v>
      </c>
    </row>
    <row r="11">
      <c r="A11" s="9" t="n">
        <v>7</v>
      </c>
      <c r="B11" s="10" t="inlineStr">
        <is>
          <t>DANAH REAL ESTATE</t>
        </is>
      </c>
      <c r="C11" s="14" t="inlineStr">
        <is>
          <t>3. GOLD SPONSOR</t>
        </is>
      </c>
      <c r="D11" s="9" t="inlineStr">
        <is>
          <t>Single Page</t>
        </is>
      </c>
      <c r="E11" s="10" t="inlineStr">
        <is>
          <t>Single Page</t>
        </is>
      </c>
      <c r="F11" s="9" t="inlineStr">
        <is>
          <t>Yes</t>
        </is>
      </c>
      <c r="G11" s="9" t="n">
        <v>12</v>
      </c>
    </row>
    <row r="12">
      <c r="A12" s="9" t="n">
        <v>8</v>
      </c>
      <c r="B12" s="10" t="inlineStr">
        <is>
          <t>DALMA MALL</t>
        </is>
      </c>
      <c r="C12" s="14" t="inlineStr">
        <is>
          <t>3. GOLD SPONSOR</t>
        </is>
      </c>
      <c r="D12" s="9" t="inlineStr">
        <is>
          <t>Single Page</t>
        </is>
      </c>
      <c r="E12" s="10" t="inlineStr">
        <is>
          <t>Single Page</t>
        </is>
      </c>
      <c r="F12" s="9" t="inlineStr">
        <is>
          <t>Yes</t>
        </is>
      </c>
      <c r="G12" s="9" t="n">
        <v>15</v>
      </c>
    </row>
    <row r="13">
      <c r="A13" s="9" t="n">
        <v>9</v>
      </c>
      <c r="B13" s="10" t="inlineStr">
        <is>
          <t>YARDI SYSTEMS</t>
        </is>
      </c>
      <c r="C13" s="9" t="inlineStr">
        <is>
          <t>4. SILVER SPONSOR</t>
        </is>
      </c>
      <c r="D13" s="65" t="inlineStr">
        <is>
          <t>—</t>
        </is>
      </c>
      <c r="E13" s="10" t="inlineStr">
        <is>
          <t>Single Page</t>
        </is>
      </c>
      <c r="F13" s="9" t="inlineStr">
        <is>
          <t>Yes</t>
        </is>
      </c>
      <c r="G13" s="9" t="n">
        <v>4</v>
      </c>
    </row>
    <row r="14">
      <c r="A14" s="9" t="n">
        <v>10</v>
      </c>
      <c r="B14" s="10" t="inlineStr">
        <is>
          <t>MRI SOFTWARE</t>
        </is>
      </c>
      <c r="C14" s="15" t="inlineStr">
        <is>
          <t>5. BRONZE SPONSOR</t>
        </is>
      </c>
      <c r="D14" s="65" t="inlineStr">
        <is>
          <t>—</t>
        </is>
      </c>
      <c r="E14" s="16" t="inlineStr">
        <is>
          <t>—</t>
        </is>
      </c>
      <c r="F14" s="9" t="inlineStr">
        <is>
          <t>Yes</t>
        </is>
      </c>
      <c r="G14" s="9" t="n">
        <v>4</v>
      </c>
    </row>
    <row r="15">
      <c r="A15" s="9" t="n">
        <v>11</v>
      </c>
      <c r="B15" s="10" t="inlineStr">
        <is>
          <t>GIFTSTARR</t>
        </is>
      </c>
      <c r="C15" s="15" t="inlineStr">
        <is>
          <t>5. BRONZE SPONSOR</t>
        </is>
      </c>
      <c r="D15" s="65" t="inlineStr">
        <is>
          <t>—</t>
        </is>
      </c>
      <c r="E15" s="16" t="inlineStr">
        <is>
          <t>—</t>
        </is>
      </c>
      <c r="F15" s="9" t="inlineStr">
        <is>
          <t>Yes</t>
        </is>
      </c>
      <c r="G15" s="9" t="n">
        <v>4</v>
      </c>
    </row>
    <row r="16">
      <c r="A16" s="9" t="n">
        <v>12</v>
      </c>
      <c r="B16" s="10" t="inlineStr">
        <is>
          <t>BURJUMAN</t>
        </is>
      </c>
      <c r="C16" s="15" t="inlineStr">
        <is>
          <t>5. BRONZE SPONSOR</t>
        </is>
      </c>
      <c r="D16" s="65" t="inlineStr">
        <is>
          <t>—</t>
        </is>
      </c>
      <c r="E16" s="10" t="inlineStr">
        <is>
          <t>Single Page</t>
        </is>
      </c>
      <c r="F16" s="9" t="inlineStr">
        <is>
          <t>Yes</t>
        </is>
      </c>
      <c r="G16" s="9" t="n">
        <v>4</v>
      </c>
    </row>
    <row r="17">
      <c r="A17" s="9" t="n">
        <v>13</v>
      </c>
      <c r="B17" s="10" t="inlineStr">
        <is>
          <t>AMUSEMENT SERVICES INTERNATIONAL LLC</t>
        </is>
      </c>
      <c r="C17" s="17" t="inlineStr">
        <is>
          <t>19. EXHIBITOR</t>
        </is>
      </c>
      <c r="D17" s="65" t="inlineStr">
        <is>
          <t>—</t>
        </is>
      </c>
      <c r="E17" s="16" t="inlineStr">
        <is>
          <t>—</t>
        </is>
      </c>
      <c r="F17" s="9" t="inlineStr">
        <is>
          <t>Yes</t>
        </is>
      </c>
      <c r="G17" s="9" t="n">
        <v>2</v>
      </c>
    </row>
    <row r="18">
      <c r="C18" s="19" t="inlineStr">
        <is>
          <t>TOTAL SEATS</t>
        </is>
      </c>
      <c r="G18" s="20">
        <f>SUM(G5:G17)</f>
        <v/>
      </c>
    </row>
    <row r="21">
      <c r="A21" s="34" t="inlineStr">
        <is>
          <t>DELIVERY STATUS</t>
        </is>
      </c>
    </row>
    <row r="22" ht="26" customHeight="1">
      <c r="A22" s="7" t="inlineStr">
        <is>
          <t>DELIVERABLE</t>
        </is>
      </c>
      <c r="B22" s="7" t="inlineStr">
        <is>
          <t>OWED</t>
        </is>
      </c>
      <c r="C22" s="7" t="inlineStr">
        <is>
          <t>NOT STARTED</t>
        </is>
      </c>
      <c r="D22" s="7" t="inlineStr">
        <is>
          <t>REQUESTED</t>
        </is>
      </c>
      <c r="E22" s="7" t="inlineStr">
        <is>
          <t>IN PROGRESS</t>
        </is>
      </c>
      <c r="F22" s="7" t="inlineStr">
        <is>
          <t>RECEIVED</t>
        </is>
      </c>
      <c r="G22" s="7" t="inlineStr">
        <is>
          <t>APPROVED</t>
        </is>
      </c>
      <c r="H22" s="7" t="inlineStr">
        <is>
          <t>PLACED</t>
        </is>
      </c>
    </row>
    <row r="23">
      <c r="A23" s="63" t="inlineStr">
        <is>
          <t>RPM advertising</t>
        </is>
      </c>
      <c r="B23" s="51">
        <f>COUNTIF('01 RPM'!D5:D100,"*Page*")</f>
        <v/>
      </c>
      <c r="C23" s="51">
        <f>COUNTIF('01 RPM'!H5:H100,"Not Started")</f>
        <v/>
      </c>
      <c r="D23" s="51">
        <f>COUNTIF('01 RPM'!H5:H100,"Requested")</f>
        <v/>
      </c>
      <c r="E23" s="51">
        <f>COUNTIF('01 RPM'!H5:H100,"In Progress")</f>
        <v/>
      </c>
      <c r="F23" s="51">
        <f>COUNTIF('01 RPM'!H5:H100,"Received")</f>
        <v/>
      </c>
      <c r="G23" s="51">
        <f>COUNTIF('01 RPM'!H5:H100,"Approved")</f>
        <v/>
      </c>
      <c r="H23" s="51">
        <f>COUNTIF('01 RPM'!H5:H100,"Placed")</f>
        <v/>
      </c>
    </row>
    <row r="24">
      <c r="A24" s="63" t="inlineStr">
        <is>
          <t>RPM profiles</t>
        </is>
      </c>
      <c r="B24" s="51">
        <f>COUNTIF('01 RPM'!E5:E100,"Yes")</f>
        <v/>
      </c>
      <c r="C24" s="51">
        <f>COUNTIF('01 RPM'!K5:K100,"Not Started")</f>
        <v/>
      </c>
      <c r="D24" s="51">
        <f>COUNTIF('01 RPM'!K5:K100,"Requested")</f>
        <v/>
      </c>
      <c r="E24" s="51">
        <f>COUNTIF('01 RPM'!K5:K100,"In Progress")</f>
        <v/>
      </c>
      <c r="F24" s="51">
        <f>COUNTIF('01 RPM'!K5:K100,"Received")</f>
        <v/>
      </c>
      <c r="G24" s="51">
        <f>COUNTIF('01 RPM'!K5:K100,"Approved")</f>
        <v/>
      </c>
      <c r="H24" s="51">
        <f>COUNTIF('01 RPM'!K5:K100,"Placed")</f>
        <v/>
      </c>
    </row>
    <row r="25">
      <c r="A25" s="63" t="inlineStr">
        <is>
          <t>Directory ads</t>
        </is>
      </c>
      <c r="B25" s="51">
        <f>COUNTA('02 Ads'!A5:A100)</f>
        <v/>
      </c>
      <c r="C25" s="51">
        <f>COUNTIF('02 Ads'!G5:G100,"Not Started")</f>
        <v/>
      </c>
      <c r="D25" s="51">
        <f>COUNTIF('02 Ads'!G5:G100,"Requested")</f>
        <v/>
      </c>
      <c r="E25" s="51">
        <f>COUNTIF('02 Ads'!G5:G100,"In Progress")</f>
        <v/>
      </c>
      <c r="F25" s="51">
        <f>COUNTIF('02 Ads'!G5:G100,"Received")</f>
        <v/>
      </c>
      <c r="G25" s="51">
        <f>COUNTIF('02 Ads'!G5:G100,"Approved")</f>
        <v/>
      </c>
      <c r="H25" s="51">
        <f>COUNTIF('02 Ads'!G5:G100,"Placed")</f>
        <v/>
      </c>
    </row>
    <row r="26">
      <c r="A26" s="63" t="inlineStr">
        <is>
          <t>Corporate members</t>
        </is>
      </c>
      <c r="B26" s="51">
        <f>COUNTA('03 Corporate Members'!A5:A100)</f>
        <v/>
      </c>
      <c r="C26" s="51">
        <f>COUNTIF('03 Corporate Members'!I5:I100,"Not Started")</f>
        <v/>
      </c>
      <c r="D26" s="51">
        <f>COUNTIF('03 Corporate Members'!I5:I100,"Requested")</f>
        <v/>
      </c>
      <c r="E26" s="51">
        <f>COUNTIF('03 Corporate Members'!I5:I100,"In Progress")</f>
        <v/>
      </c>
      <c r="F26" s="51">
        <f>COUNTIF('03 Corporate Members'!I5:I100,"Received")</f>
        <v/>
      </c>
      <c r="G26" s="51">
        <f>COUNTIF('03 Corporate Members'!I5:I100,"Approved")</f>
        <v/>
      </c>
      <c r="H26" s="51">
        <f>COUNTIF('03 Corporate Members'!I5:I100,"Placed")</f>
        <v/>
      </c>
    </row>
    <row r="27">
      <c r="A27" s="72" t="inlineStr">
        <is>
          <t>TOTAL</t>
        </is>
      </c>
      <c r="B27" s="20">
        <f>SUM(B23:B26)</f>
        <v/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</row>
  </sheetData>
  <mergeCells count="2">
    <mergeCell ref="A2:G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2026-09-04T19:51:50Z</dcterms:created>
  <dcterms:modified xmlns:dcterms="http://purl.org/dc/terms/" xmlns:xsi="http://www.w3.org/2001/XMLSchema-instance" xsi:type="dcterms:W3CDTF">2026-09-04T19:51:53Z</dcterms:modified>
</cp:coreProperties>
</file>